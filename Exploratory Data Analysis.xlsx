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pivotTables/pivotTable5.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Ex1.xml" ContentType="application/vnd.ms-office.chartex+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Ex2.xml" ContentType="application/vnd.ms-office.chartex+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4.xml" ContentType="application/vnd.ms-excel.slicer+xml"/>
  <Override PartName="/xl/timelines/timeline1.xml" ContentType="application/vnd.ms-excel.timeline+xml"/>
  <Override PartName="/xl/charts/chart4.xml" ContentType="application/vnd.openxmlformats-officedocument.drawingml.chart+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3.xml" ContentType="application/vnd.ms-office.chartex+xml"/>
  <Override PartName="/xl/charts/style6.xml" ContentType="application/vnd.ms-office.chartstyle+xml"/>
  <Override PartName="/xl/charts/colors6.xml" ContentType="application/vnd.ms-office.chartcolorstyle+xml"/>
  <Override PartName="/xl/charts/chartEx4.xml" ContentType="application/vnd.ms-office.chartex+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EAA37D91CEF7DA8C/Documents/"/>
    </mc:Choice>
  </mc:AlternateContent>
  <xr:revisionPtr revIDLastSave="1981" documentId="8_{6AF17F38-1191-49AA-A70E-E8AEF50031A1}" xr6:coauthVersionLast="47" xr6:coauthVersionMax="47" xr10:uidLastSave="{006D69DF-F7AE-4B25-9143-A78255BE83C6}"/>
  <bookViews>
    <workbookView xWindow="-110" yWindow="-110" windowWidth="19420" windowHeight="10420" firstSheet="1" activeTab="7" xr2:uid="{486C7AFB-A635-4919-9892-3718ADEBEE14}"/>
  </bookViews>
  <sheets>
    <sheet name="Sheet2" sheetId="2" r:id="rId1"/>
    <sheet name="Sheet3" sheetId="3" r:id="rId2"/>
    <sheet name="Sheet4" sheetId="4" r:id="rId3"/>
    <sheet name="Sheet6" sheetId="6" r:id="rId4"/>
    <sheet name="Sheet12" sheetId="12" r:id="rId5"/>
    <sheet name="Sheet13" sheetId="13" r:id="rId6"/>
    <sheet name="Sheet1" sheetId="1" r:id="rId7"/>
    <sheet name="Sheet7" sheetId="7" r:id="rId8"/>
  </sheets>
  <definedNames>
    <definedName name="_xlchart.v1.0" hidden="1">Sheet12!$D$4:$D$8</definedName>
    <definedName name="_xlchart.v1.1" hidden="1">Sheet12!$E$4:$E$8</definedName>
    <definedName name="_xlchart.v1.2" hidden="1">Sheet13!$D$4:$D$7</definedName>
    <definedName name="_xlchart.v1.3" hidden="1">Sheet13!$E$4:$E$7</definedName>
    <definedName name="_xlchart.v1.4" hidden="1">Sheet13!$D$4:$D$7</definedName>
    <definedName name="_xlchart.v1.5" hidden="1">Sheet13!$E$4:$E$7</definedName>
    <definedName name="_xlchart.v1.6" hidden="1">Sheet12!$D$4:$D$8</definedName>
    <definedName name="_xlchart.v1.7" hidden="1">Sheet12!$E$4:$E$8</definedName>
    <definedName name="NativeTimeline_booking_date">#N/A</definedName>
    <definedName name="Slicer_department">#N/A</definedName>
  </definedNames>
  <calcPr calcId="191029"/>
  <pivotCaches>
    <pivotCache cacheId="0"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10" i="12" l="1"/>
  <c r="A8" i="3"/>
  <c r="B15" i="4"/>
  <c r="E3" i="1" a="1"/>
  <c r="E3" i="1" s="1"/>
  <c r="E4" i="1" a="1"/>
  <c r="E4" i="1"/>
  <c r="E5" i="1" a="1"/>
  <c r="E5" i="1" s="1"/>
  <c r="E6" i="1" a="1"/>
  <c r="E6" i="1"/>
  <c r="E7" i="1" a="1"/>
  <c r="E7" i="1" s="1"/>
  <c r="E8" i="1" a="1"/>
  <c r="E8" i="1"/>
  <c r="E9" i="1" a="1"/>
  <c r="E9" i="1" s="1"/>
  <c r="E10" i="1" a="1"/>
  <c r="E10" i="1"/>
  <c r="E11" i="1" a="1"/>
  <c r="E11" i="1" s="1"/>
  <c r="E12" i="1" a="1"/>
  <c r="E12" i="1"/>
  <c r="E13" i="1" a="1"/>
  <c r="E13" i="1" s="1"/>
  <c r="E14" i="1" a="1"/>
  <c r="E14" i="1" s="1"/>
  <c r="E15" i="1" a="1"/>
  <c r="E15" i="1" s="1"/>
  <c r="E16" i="1" a="1"/>
  <c r="E16" i="1" s="1"/>
  <c r="E17" i="1" a="1"/>
  <c r="E17" i="1" s="1"/>
  <c r="E18" i="1" a="1"/>
  <c r="E18" i="1"/>
  <c r="E19" i="1" a="1"/>
  <c r="E19" i="1" s="1"/>
  <c r="E20" i="1" a="1"/>
  <c r="E20" i="1" s="1"/>
  <c r="E21" i="1" a="1"/>
  <c r="E21" i="1" s="1"/>
  <c r="E22" i="1" a="1"/>
  <c r="E22" i="1" s="1"/>
  <c r="E23" i="1" a="1"/>
  <c r="E23" i="1" s="1"/>
  <c r="E24" i="1" a="1"/>
  <c r="E24" i="1" s="1"/>
  <c r="E25" i="1" a="1"/>
  <c r="E25" i="1" s="1"/>
  <c r="E26" i="1" a="1"/>
  <c r="E26" i="1"/>
  <c r="E27" i="1" a="1"/>
  <c r="E27" i="1" s="1"/>
  <c r="E28" i="1" a="1"/>
  <c r="E28" i="1"/>
  <c r="E29" i="1" a="1"/>
  <c r="E29" i="1" s="1"/>
  <c r="E30" i="1" a="1"/>
  <c r="E30" i="1" s="1"/>
  <c r="E31" i="1" a="1"/>
  <c r="E31" i="1" s="1"/>
  <c r="E32" i="1" a="1"/>
  <c r="E32" i="1" s="1"/>
  <c r="E33" i="1" a="1"/>
  <c r="E33" i="1" s="1"/>
  <c r="E34" i="1" a="1"/>
  <c r="E34" i="1"/>
  <c r="E35" i="1" a="1"/>
  <c r="E35" i="1" s="1"/>
  <c r="E36" i="1" a="1"/>
  <c r="E36" i="1"/>
  <c r="E37" i="1" a="1"/>
  <c r="E37" i="1" s="1"/>
  <c r="E38" i="1" a="1"/>
  <c r="E38" i="1" s="1"/>
  <c r="E39" i="1" a="1"/>
  <c r="E39" i="1" s="1"/>
  <c r="E40" i="1" a="1"/>
  <c r="E40" i="1" s="1"/>
  <c r="E41" i="1" a="1"/>
  <c r="E41" i="1" s="1"/>
  <c r="E42" i="1" a="1"/>
  <c r="E42" i="1"/>
  <c r="E43" i="1" a="1"/>
  <c r="E43" i="1" s="1"/>
  <c r="E44" i="1" a="1"/>
  <c r="E44" i="1"/>
  <c r="E45" i="1" a="1"/>
  <c r="E45" i="1" s="1"/>
  <c r="E46" i="1" a="1"/>
  <c r="E46" i="1" s="1"/>
  <c r="E47" i="1" a="1"/>
  <c r="E47" i="1" s="1"/>
  <c r="E48" i="1" a="1"/>
  <c r="E48" i="1" s="1"/>
  <c r="E49" i="1" a="1"/>
  <c r="E49" i="1" s="1"/>
  <c r="E50" i="1" a="1"/>
  <c r="E50" i="1"/>
  <c r="E51" i="1" a="1"/>
  <c r="E51" i="1" s="1"/>
  <c r="E52" i="1" a="1"/>
  <c r="E52" i="1"/>
  <c r="E53" i="1" a="1"/>
  <c r="E53" i="1" s="1"/>
  <c r="E54" i="1" a="1"/>
  <c r="E54" i="1" s="1"/>
  <c r="E55" i="1" a="1"/>
  <c r="E55" i="1" s="1"/>
  <c r="E56" i="1" a="1"/>
  <c r="E56" i="1" s="1"/>
  <c r="E57" i="1" a="1"/>
  <c r="E57" i="1" s="1"/>
  <c r="E58" i="1" a="1"/>
  <c r="E58" i="1"/>
  <c r="E59" i="1" a="1"/>
  <c r="E59" i="1" s="1"/>
  <c r="E60" i="1" a="1"/>
  <c r="E60" i="1" s="1"/>
  <c r="E61" i="1" a="1"/>
  <c r="E61" i="1" s="1"/>
  <c r="E62" i="1" a="1"/>
  <c r="E62" i="1" s="1"/>
  <c r="E63" i="1" a="1"/>
  <c r="E63" i="1" s="1"/>
  <c r="E64" i="1" a="1"/>
  <c r="E64" i="1" s="1"/>
  <c r="E65" i="1" a="1"/>
  <c r="E65" i="1" s="1"/>
  <c r="E66" i="1" a="1"/>
  <c r="E66" i="1"/>
  <c r="E67" i="1" a="1"/>
  <c r="E67" i="1" s="1"/>
  <c r="E68" i="1" a="1"/>
  <c r="E68" i="1"/>
  <c r="E69" i="1" a="1"/>
  <c r="E69" i="1" s="1"/>
  <c r="E70" i="1" a="1"/>
  <c r="E70" i="1" s="1"/>
  <c r="E71" i="1" a="1"/>
  <c r="E71" i="1" s="1"/>
  <c r="E72" i="1" a="1"/>
  <c r="E72" i="1" s="1"/>
  <c r="E73" i="1" a="1"/>
  <c r="E73" i="1" s="1"/>
  <c r="E74" i="1" a="1"/>
  <c r="E74" i="1"/>
  <c r="E75" i="1" a="1"/>
  <c r="E75" i="1" s="1"/>
  <c r="E76" i="1" a="1"/>
  <c r="E76" i="1" s="1"/>
  <c r="E77" i="1" a="1"/>
  <c r="E77" i="1" s="1"/>
  <c r="E78" i="1" a="1"/>
  <c r="E78" i="1" s="1"/>
  <c r="E79" i="1" a="1"/>
  <c r="E79" i="1" s="1"/>
  <c r="E80" i="1" a="1"/>
  <c r="E80" i="1" s="1"/>
  <c r="E81" i="1" a="1"/>
  <c r="E81" i="1" s="1"/>
  <c r="E82" i="1" a="1"/>
  <c r="E82" i="1"/>
  <c r="E83" i="1" a="1"/>
  <c r="E83" i="1" s="1"/>
  <c r="E84" i="1" a="1"/>
  <c r="E84" i="1" s="1"/>
  <c r="E85" i="1" a="1"/>
  <c r="E85" i="1" s="1"/>
  <c r="E86" i="1" a="1"/>
  <c r="E86" i="1" s="1"/>
  <c r="E87" i="1" a="1"/>
  <c r="E87" i="1" s="1"/>
  <c r="E88" i="1" a="1"/>
  <c r="E88" i="1" s="1"/>
  <c r="E89" i="1" a="1"/>
  <c r="E89" i="1" s="1"/>
  <c r="E90" i="1" a="1"/>
  <c r="E90" i="1"/>
  <c r="E91" i="1" a="1"/>
  <c r="E91" i="1" s="1"/>
  <c r="E92" i="1" a="1"/>
  <c r="E92" i="1" s="1"/>
  <c r="E93" i="1" a="1"/>
  <c r="E93" i="1" s="1"/>
  <c r="E94" i="1" a="1"/>
  <c r="E94" i="1" s="1"/>
  <c r="E95" i="1" a="1"/>
  <c r="E95" i="1" s="1"/>
  <c r="E96" i="1" a="1"/>
  <c r="E96" i="1" s="1"/>
  <c r="E97" i="1" a="1"/>
  <c r="E97" i="1" s="1"/>
  <c r="E98" i="1" a="1"/>
  <c r="E98" i="1"/>
  <c r="E99" i="1" a="1"/>
  <c r="E99" i="1" s="1"/>
  <c r="E100" i="1" a="1"/>
  <c r="E100" i="1" s="1"/>
  <c r="E101" i="1" a="1"/>
  <c r="E101" i="1" s="1"/>
  <c r="E102" i="1" a="1"/>
  <c r="E102" i="1" s="1"/>
  <c r="E103" i="1" a="1"/>
  <c r="E103" i="1" s="1"/>
  <c r="E104" i="1" a="1"/>
  <c r="E104" i="1" s="1"/>
  <c r="E105" i="1" a="1"/>
  <c r="E105" i="1" s="1"/>
  <c r="E106" i="1" a="1"/>
  <c r="E106" i="1"/>
  <c r="E107" i="1" a="1"/>
  <c r="E107" i="1" s="1"/>
  <c r="E108" i="1" a="1"/>
  <c r="E108" i="1"/>
  <c r="E109" i="1" a="1"/>
  <c r="E109" i="1" s="1"/>
  <c r="E110" i="1" a="1"/>
  <c r="E110" i="1" s="1"/>
  <c r="E111" i="1" a="1"/>
  <c r="E111" i="1" s="1"/>
  <c r="E112" i="1" a="1"/>
  <c r="E112" i="1" s="1"/>
  <c r="E113" i="1" a="1"/>
  <c r="E113" i="1" s="1"/>
  <c r="E114" i="1" a="1"/>
  <c r="E114" i="1"/>
  <c r="E115" i="1" a="1"/>
  <c r="E115" i="1" s="1"/>
  <c r="E116" i="1" a="1"/>
  <c r="E116" i="1"/>
  <c r="E117" i="1" a="1"/>
  <c r="E117" i="1" s="1"/>
  <c r="E118" i="1" a="1"/>
  <c r="E118" i="1" s="1"/>
  <c r="E119" i="1" a="1"/>
  <c r="E119" i="1" s="1"/>
  <c r="E120" i="1" a="1"/>
  <c r="E120" i="1" s="1"/>
  <c r="E121" i="1" a="1"/>
  <c r="E121" i="1" s="1"/>
  <c r="E122" i="1" a="1"/>
  <c r="E122" i="1"/>
  <c r="E123" i="1" a="1"/>
  <c r="E123" i="1" s="1"/>
  <c r="E124" i="1" a="1"/>
  <c r="E124" i="1"/>
  <c r="E125" i="1" a="1"/>
  <c r="E125" i="1" s="1"/>
  <c r="E126" i="1" a="1"/>
  <c r="E126" i="1" s="1"/>
  <c r="E127" i="1" a="1"/>
  <c r="E127" i="1" s="1"/>
  <c r="E128" i="1" a="1"/>
  <c r="E128" i="1" s="1"/>
  <c r="E129" i="1" a="1"/>
  <c r="E129" i="1" s="1"/>
  <c r="E130" i="1" a="1"/>
  <c r="E130" i="1"/>
  <c r="E131" i="1" a="1"/>
  <c r="E131" i="1" s="1"/>
  <c r="E132" i="1" a="1"/>
  <c r="E132" i="1"/>
  <c r="E133" i="1" a="1"/>
  <c r="E133" i="1" s="1"/>
  <c r="E134" i="1" a="1"/>
  <c r="E134" i="1" s="1"/>
  <c r="E135" i="1" a="1"/>
  <c r="E135" i="1" s="1"/>
  <c r="E136" i="1" a="1"/>
  <c r="E136" i="1" s="1"/>
  <c r="E137" i="1" a="1"/>
  <c r="E137" i="1" s="1"/>
  <c r="E138" i="1" a="1"/>
  <c r="E138" i="1"/>
  <c r="E139" i="1" a="1"/>
  <c r="E139" i="1" s="1"/>
  <c r="E140" i="1" a="1"/>
  <c r="E140" i="1"/>
  <c r="E141" i="1" a="1"/>
  <c r="E141" i="1" s="1"/>
  <c r="E142" i="1" a="1"/>
  <c r="E142" i="1" s="1"/>
  <c r="E143" i="1" a="1"/>
  <c r="E143" i="1" s="1"/>
  <c r="E144" i="1" a="1"/>
  <c r="E144" i="1" s="1"/>
  <c r="E145" i="1" a="1"/>
  <c r="E145" i="1" s="1"/>
  <c r="E146" i="1" a="1"/>
  <c r="E146" i="1"/>
  <c r="E147" i="1" a="1"/>
  <c r="E147" i="1" s="1"/>
  <c r="E148" i="1" a="1"/>
  <c r="E148" i="1"/>
  <c r="E149" i="1" a="1"/>
  <c r="E149" i="1" s="1"/>
  <c r="E150" i="1" a="1"/>
  <c r="E150" i="1" s="1"/>
  <c r="E151" i="1" a="1"/>
  <c r="E151" i="1" s="1"/>
  <c r="E152" i="1" a="1"/>
  <c r="E152" i="1" s="1"/>
  <c r="E153" i="1" a="1"/>
  <c r="E153" i="1" s="1"/>
  <c r="E154" i="1" a="1"/>
  <c r="E154" i="1"/>
  <c r="E155" i="1" a="1"/>
  <c r="E155" i="1" s="1"/>
  <c r="E156" i="1" a="1"/>
  <c r="E156" i="1"/>
  <c r="E157" i="1" a="1"/>
  <c r="E157" i="1" s="1"/>
  <c r="E158" i="1" a="1"/>
  <c r="E158" i="1" s="1"/>
  <c r="E159" i="1" a="1"/>
  <c r="E159" i="1" s="1"/>
  <c r="E160" i="1" a="1"/>
  <c r="E160" i="1" s="1"/>
  <c r="E161" i="1" a="1"/>
  <c r="E161" i="1" s="1"/>
  <c r="E162" i="1" a="1"/>
  <c r="E162" i="1"/>
  <c r="E163" i="1" a="1"/>
  <c r="E163" i="1" s="1"/>
  <c r="E164" i="1" a="1"/>
  <c r="E164" i="1"/>
  <c r="E165" i="1" a="1"/>
  <c r="E165" i="1" s="1"/>
  <c r="E166" i="1" a="1"/>
  <c r="E166" i="1" s="1"/>
  <c r="E167" i="1" a="1"/>
  <c r="E167" i="1" s="1"/>
  <c r="E168" i="1" a="1"/>
  <c r="E168" i="1" s="1"/>
  <c r="E169" i="1" a="1"/>
  <c r="E169" i="1" s="1"/>
  <c r="E170" i="1" a="1"/>
  <c r="E170" i="1"/>
  <c r="E171" i="1" a="1"/>
  <c r="E171" i="1" s="1"/>
  <c r="E172" i="1" a="1"/>
  <c r="E172" i="1"/>
  <c r="E173" i="1" a="1"/>
  <c r="E173" i="1" s="1"/>
  <c r="E174" i="1" a="1"/>
  <c r="E174" i="1" s="1"/>
  <c r="E175" i="1" a="1"/>
  <c r="E175" i="1" s="1"/>
  <c r="E176" i="1" a="1"/>
  <c r="E176" i="1" s="1"/>
  <c r="E177" i="1" a="1"/>
  <c r="E177" i="1" s="1"/>
  <c r="E178" i="1" a="1"/>
  <c r="E178" i="1" s="1"/>
  <c r="E179" i="1" a="1"/>
  <c r="E179" i="1" s="1"/>
  <c r="E180" i="1" a="1"/>
  <c r="E180" i="1" s="1"/>
  <c r="E181" i="1" a="1"/>
  <c r="E181" i="1" s="1"/>
  <c r="E182" i="1" a="1"/>
  <c r="E182" i="1" s="1"/>
  <c r="E183" i="1" a="1"/>
  <c r="E183" i="1" s="1"/>
  <c r="E184" i="1" a="1"/>
  <c r="E184" i="1" s="1"/>
  <c r="E185" i="1" a="1"/>
  <c r="E185" i="1" s="1"/>
  <c r="E186" i="1" a="1"/>
  <c r="E186" i="1" s="1"/>
  <c r="E187" i="1" a="1"/>
  <c r="E187" i="1" s="1"/>
  <c r="E188" i="1" a="1"/>
  <c r="E188" i="1" s="1"/>
  <c r="E189" i="1" a="1"/>
  <c r="E189" i="1" s="1"/>
  <c r="E190" i="1" a="1"/>
  <c r="E190" i="1" s="1"/>
  <c r="E191" i="1" a="1"/>
  <c r="E191" i="1" s="1"/>
  <c r="E192" i="1" a="1"/>
  <c r="E192" i="1" s="1"/>
  <c r="E193" i="1" a="1"/>
  <c r="E193" i="1" s="1"/>
  <c r="E194" i="1" a="1"/>
  <c r="E194" i="1" s="1"/>
  <c r="E195" i="1" a="1"/>
  <c r="E195" i="1" s="1"/>
  <c r="E196" i="1" a="1"/>
  <c r="E196" i="1" s="1"/>
  <c r="E197" i="1" a="1"/>
  <c r="E197" i="1" s="1"/>
  <c r="E198" i="1" a="1"/>
  <c r="E198" i="1" s="1"/>
  <c r="E199" i="1" a="1"/>
  <c r="E199" i="1" s="1"/>
  <c r="E200" i="1" a="1"/>
  <c r="E200" i="1" s="1"/>
  <c r="E201" i="1" a="1"/>
  <c r="E201" i="1" s="1"/>
  <c r="E202" i="1" a="1"/>
  <c r="E202" i="1" s="1"/>
  <c r="E203" i="1" a="1"/>
  <c r="E203" i="1" s="1"/>
  <c r="E204" i="1" a="1"/>
  <c r="E204" i="1" s="1"/>
  <c r="E205" i="1" a="1"/>
  <c r="E205" i="1" s="1"/>
  <c r="E206" i="1" a="1"/>
  <c r="E206" i="1" s="1"/>
  <c r="E207" i="1" a="1"/>
  <c r="E207" i="1" s="1"/>
  <c r="E208" i="1" a="1"/>
  <c r="E208" i="1" s="1"/>
  <c r="E209" i="1" a="1"/>
  <c r="E209" i="1" s="1"/>
  <c r="E210" i="1" a="1"/>
  <c r="E210" i="1" s="1"/>
  <c r="E211" i="1" a="1"/>
  <c r="E211" i="1" s="1"/>
  <c r="E212" i="1" a="1"/>
  <c r="E212" i="1" s="1"/>
  <c r="E213" i="1" a="1"/>
  <c r="E213" i="1" s="1"/>
  <c r="E214" i="1" a="1"/>
  <c r="E214" i="1" s="1"/>
  <c r="E215" i="1" a="1"/>
  <c r="E215" i="1" s="1"/>
  <c r="E216" i="1" a="1"/>
  <c r="E216" i="1" s="1"/>
  <c r="E217" i="1" a="1"/>
  <c r="E217" i="1" s="1"/>
  <c r="E218" i="1" a="1"/>
  <c r="E218" i="1" s="1"/>
  <c r="E219" i="1" a="1"/>
  <c r="E219" i="1" s="1"/>
  <c r="E220" i="1" a="1"/>
  <c r="E220" i="1" s="1"/>
  <c r="E221" i="1" a="1"/>
  <c r="E221" i="1" s="1"/>
  <c r="E222" i="1" a="1"/>
  <c r="E222" i="1" s="1"/>
  <c r="E223" i="1" a="1"/>
  <c r="E223" i="1" s="1"/>
  <c r="E224" i="1" a="1"/>
  <c r="E224" i="1" s="1"/>
  <c r="E225" i="1" a="1"/>
  <c r="E225" i="1" s="1"/>
  <c r="E226" i="1" a="1"/>
  <c r="E226" i="1" s="1"/>
  <c r="E227" i="1" a="1"/>
  <c r="E227" i="1" s="1"/>
  <c r="E228" i="1" a="1"/>
  <c r="E228" i="1" s="1"/>
  <c r="E229" i="1" a="1"/>
  <c r="E229" i="1" s="1"/>
  <c r="E230" i="1" a="1"/>
  <c r="E230" i="1" s="1"/>
  <c r="E231" i="1" a="1"/>
  <c r="E231" i="1" s="1"/>
  <c r="E232" i="1" a="1"/>
  <c r="E232" i="1" s="1"/>
  <c r="E233" i="1" a="1"/>
  <c r="E233" i="1" s="1"/>
  <c r="E234" i="1" a="1"/>
  <c r="E234" i="1" s="1"/>
  <c r="E235" i="1" a="1"/>
  <c r="E235" i="1" s="1"/>
  <c r="E236" i="1" a="1"/>
  <c r="E236" i="1" s="1"/>
  <c r="E237" i="1" a="1"/>
  <c r="E237" i="1" s="1"/>
  <c r="E238" i="1" a="1"/>
  <c r="E238" i="1" s="1"/>
  <c r="E239" i="1" a="1"/>
  <c r="E239" i="1" s="1"/>
  <c r="E240" i="1" a="1"/>
  <c r="E240" i="1" s="1"/>
  <c r="E241" i="1" a="1"/>
  <c r="E241" i="1" s="1"/>
  <c r="E242" i="1" a="1"/>
  <c r="E242" i="1" s="1"/>
  <c r="E243" i="1" a="1"/>
  <c r="E243" i="1" s="1"/>
  <c r="E244" i="1" a="1"/>
  <c r="E244" i="1" s="1"/>
  <c r="E245" i="1" a="1"/>
  <c r="E245" i="1" s="1"/>
  <c r="E246" i="1" a="1"/>
  <c r="E246" i="1" s="1"/>
  <c r="E247" i="1" a="1"/>
  <c r="E247" i="1" s="1"/>
  <c r="E248" i="1" a="1"/>
  <c r="E248" i="1" s="1"/>
  <c r="E249" i="1" a="1"/>
  <c r="E249" i="1" s="1"/>
  <c r="E250" i="1" a="1"/>
  <c r="E250" i="1" s="1"/>
  <c r="E251" i="1" a="1"/>
  <c r="E251" i="1" s="1"/>
  <c r="E252" i="1" a="1"/>
  <c r="E252" i="1" s="1"/>
  <c r="E253" i="1" a="1"/>
  <c r="E253" i="1" s="1"/>
  <c r="E254" i="1" a="1"/>
  <c r="E254" i="1" s="1"/>
  <c r="E255" i="1" a="1"/>
  <c r="E255" i="1" s="1"/>
  <c r="E256" i="1" a="1"/>
  <c r="E256" i="1" s="1"/>
  <c r="E257" i="1" a="1"/>
  <c r="E257" i="1" s="1"/>
  <c r="E258" i="1" a="1"/>
  <c r="E258" i="1" s="1"/>
  <c r="E259" i="1" a="1"/>
  <c r="E259" i="1" s="1"/>
  <c r="E260" i="1" a="1"/>
  <c r="E260" i="1" s="1"/>
  <c r="E261" i="1" a="1"/>
  <c r="E261" i="1" s="1"/>
  <c r="E262" i="1" a="1"/>
  <c r="E262" i="1" s="1"/>
  <c r="E263" i="1" a="1"/>
  <c r="E263" i="1" s="1"/>
  <c r="E264" i="1" a="1"/>
  <c r="E264" i="1" s="1"/>
  <c r="E265" i="1" a="1"/>
  <c r="E265" i="1" s="1"/>
  <c r="E266" i="1" a="1"/>
  <c r="E266" i="1" s="1"/>
  <c r="E267" i="1" a="1"/>
  <c r="E267" i="1" s="1"/>
  <c r="E268" i="1" a="1"/>
  <c r="E268" i="1" s="1"/>
  <c r="E269" i="1" a="1"/>
  <c r="E269" i="1" s="1"/>
  <c r="E270" i="1" a="1"/>
  <c r="E270" i="1" s="1"/>
  <c r="E271" i="1" a="1"/>
  <c r="E271" i="1" s="1"/>
  <c r="E272" i="1" a="1"/>
  <c r="E272" i="1" s="1"/>
  <c r="E273" i="1" a="1"/>
  <c r="E273" i="1" s="1"/>
  <c r="E274" i="1" a="1"/>
  <c r="E274" i="1" s="1"/>
  <c r="E275" i="1" a="1"/>
  <c r="E275" i="1" s="1"/>
  <c r="E276" i="1" a="1"/>
  <c r="E276" i="1" s="1"/>
  <c r="E277" i="1" a="1"/>
  <c r="E277" i="1"/>
  <c r="E278" i="1" a="1"/>
  <c r="E278" i="1" s="1"/>
  <c r="E279" i="1" a="1"/>
  <c r="E279" i="1" s="1"/>
  <c r="E280" i="1" a="1"/>
  <c r="E280" i="1" s="1"/>
  <c r="E281" i="1" a="1"/>
  <c r="E281" i="1" s="1"/>
  <c r="E282" i="1" a="1"/>
  <c r="E282" i="1" s="1"/>
  <c r="E283" i="1" a="1"/>
  <c r="E283" i="1" s="1"/>
  <c r="E284" i="1" a="1"/>
  <c r="E284" i="1" s="1"/>
  <c r="E285" i="1" a="1"/>
  <c r="E285" i="1"/>
  <c r="E286" i="1" a="1"/>
  <c r="E286" i="1" s="1"/>
  <c r="E287" i="1" a="1"/>
  <c r="E287" i="1" s="1"/>
  <c r="E288" i="1" a="1"/>
  <c r="E288" i="1" s="1"/>
  <c r="E289" i="1" a="1"/>
  <c r="E289" i="1" s="1"/>
  <c r="E290" i="1" a="1"/>
  <c r="E290" i="1" s="1"/>
  <c r="E291" i="1" a="1"/>
  <c r="E291" i="1" s="1"/>
  <c r="E292" i="1" a="1"/>
  <c r="E292" i="1" s="1"/>
  <c r="E293" i="1" a="1"/>
  <c r="E293" i="1"/>
  <c r="E294" i="1" a="1"/>
  <c r="E294" i="1" s="1"/>
  <c r="E295" i="1" a="1"/>
  <c r="E295" i="1" s="1"/>
  <c r="E296" i="1" a="1"/>
  <c r="E296" i="1" s="1"/>
  <c r="E297" i="1" a="1"/>
  <c r="E297" i="1" s="1"/>
  <c r="E298" i="1" a="1"/>
  <c r="E298" i="1" s="1"/>
  <c r="E299" i="1" a="1"/>
  <c r="E299" i="1" s="1"/>
  <c r="E300" i="1" a="1"/>
  <c r="E300" i="1" s="1"/>
  <c r="E301" i="1" a="1"/>
  <c r="E301" i="1"/>
  <c r="E302" i="1" a="1"/>
  <c r="E302" i="1" s="1"/>
  <c r="E303" i="1" a="1"/>
  <c r="E303" i="1" s="1"/>
  <c r="E304" i="1" a="1"/>
  <c r="E304" i="1" s="1"/>
  <c r="E305" i="1" a="1"/>
  <c r="E305" i="1" s="1"/>
  <c r="E306" i="1" a="1"/>
  <c r="E306" i="1" s="1"/>
  <c r="E307" i="1" a="1"/>
  <c r="E307" i="1" s="1"/>
  <c r="E308" i="1" a="1"/>
  <c r="E308" i="1" s="1"/>
  <c r="E309" i="1" a="1"/>
  <c r="E309" i="1"/>
  <c r="E310" i="1" a="1"/>
  <c r="E310" i="1" s="1"/>
  <c r="E311" i="1" a="1"/>
  <c r="E311" i="1" s="1"/>
  <c r="E312" i="1" a="1"/>
  <c r="E312" i="1" s="1"/>
  <c r="E313" i="1" a="1"/>
  <c r="E313" i="1" s="1"/>
  <c r="E314" i="1" a="1"/>
  <c r="E314" i="1" s="1"/>
  <c r="E315" i="1" a="1"/>
  <c r="E315" i="1" s="1"/>
  <c r="E316" i="1" a="1"/>
  <c r="E316" i="1" s="1"/>
  <c r="E317" i="1" a="1"/>
  <c r="E317" i="1"/>
  <c r="E318" i="1" a="1"/>
  <c r="E318" i="1" s="1"/>
  <c r="E319" i="1" a="1"/>
  <c r="E319" i="1" s="1"/>
  <c r="E320" i="1" a="1"/>
  <c r="E320" i="1" s="1"/>
  <c r="E321" i="1" a="1"/>
  <c r="E321" i="1" s="1"/>
  <c r="E322" i="1" a="1"/>
  <c r="E322" i="1" s="1"/>
  <c r="E323" i="1" a="1"/>
  <c r="E323" i="1" s="1"/>
  <c r="E324" i="1" a="1"/>
  <c r="E324" i="1" s="1"/>
  <c r="E325" i="1" a="1"/>
  <c r="E325" i="1"/>
  <c r="E326" i="1" a="1"/>
  <c r="E326" i="1" s="1"/>
  <c r="E327" i="1" a="1"/>
  <c r="E327" i="1" s="1"/>
  <c r="E328" i="1" a="1"/>
  <c r="E328" i="1" s="1"/>
  <c r="E329" i="1" a="1"/>
  <c r="E329" i="1" s="1"/>
  <c r="E330" i="1" a="1"/>
  <c r="E330" i="1" s="1"/>
  <c r="E331" i="1" a="1"/>
  <c r="E331" i="1" s="1"/>
  <c r="E332" i="1" a="1"/>
  <c r="E332" i="1" s="1"/>
  <c r="E333" i="1" a="1"/>
  <c r="E333" i="1" s="1"/>
  <c r="E334" i="1" a="1"/>
  <c r="E334" i="1" s="1"/>
  <c r="E335" i="1" a="1"/>
  <c r="E335" i="1" s="1"/>
  <c r="E336" i="1" a="1"/>
  <c r="E336" i="1" s="1"/>
  <c r="E337" i="1" a="1"/>
  <c r="E337" i="1" s="1"/>
  <c r="E338" i="1" a="1"/>
  <c r="E338" i="1" s="1"/>
  <c r="E339" i="1" a="1"/>
  <c r="E339" i="1" s="1"/>
  <c r="E340" i="1" a="1"/>
  <c r="E340" i="1" s="1"/>
  <c r="E341" i="1" a="1"/>
  <c r="E341" i="1" s="1"/>
  <c r="E342" i="1" a="1"/>
  <c r="E342" i="1" s="1"/>
  <c r="E343" i="1" a="1"/>
  <c r="E343" i="1" s="1"/>
  <c r="E344" i="1" a="1"/>
  <c r="E344" i="1" s="1"/>
  <c r="E345" i="1" a="1"/>
  <c r="E345" i="1" s="1"/>
  <c r="E346" i="1" a="1"/>
  <c r="E346" i="1" s="1"/>
  <c r="E347" i="1" a="1"/>
  <c r="E347" i="1" s="1"/>
  <c r="E348" i="1" a="1"/>
  <c r="E348" i="1" s="1"/>
  <c r="E349" i="1" a="1"/>
  <c r="E349" i="1" s="1"/>
  <c r="E350" i="1" a="1"/>
  <c r="E350" i="1" s="1"/>
  <c r="E351" i="1" a="1"/>
  <c r="E351" i="1" s="1"/>
  <c r="E352" i="1" a="1"/>
  <c r="E352" i="1" s="1"/>
  <c r="E353" i="1" a="1"/>
  <c r="E353" i="1" s="1"/>
  <c r="E354" i="1" a="1"/>
  <c r="E354" i="1" s="1"/>
  <c r="E355" i="1" a="1"/>
  <c r="E355" i="1" s="1"/>
  <c r="E356" i="1" a="1"/>
  <c r="E356" i="1" s="1"/>
  <c r="E357" i="1" a="1"/>
  <c r="E357" i="1" s="1"/>
  <c r="E358" i="1" a="1"/>
  <c r="E358" i="1" s="1"/>
  <c r="E359" i="1" a="1"/>
  <c r="E359" i="1" s="1"/>
  <c r="E360" i="1" a="1"/>
  <c r="E360" i="1" s="1"/>
  <c r="E361" i="1" a="1"/>
  <c r="E361" i="1" s="1"/>
  <c r="E362" i="1" a="1"/>
  <c r="E362" i="1" s="1"/>
  <c r="E363" i="1" a="1"/>
  <c r="E363" i="1" s="1"/>
  <c r="E364" i="1" a="1"/>
  <c r="E364" i="1" s="1"/>
  <c r="E365" i="1" a="1"/>
  <c r="E365" i="1" s="1"/>
  <c r="E366" i="1" a="1"/>
  <c r="E366" i="1" s="1"/>
  <c r="E367" i="1" a="1"/>
  <c r="E367" i="1" s="1"/>
  <c r="E368" i="1" a="1"/>
  <c r="E368" i="1" s="1"/>
  <c r="E369" i="1" a="1"/>
  <c r="E369" i="1" s="1"/>
  <c r="E370" i="1" a="1"/>
  <c r="E370" i="1" s="1"/>
  <c r="E371" i="1" a="1"/>
  <c r="E371" i="1" s="1"/>
  <c r="E372" i="1" a="1"/>
  <c r="E372" i="1" s="1"/>
  <c r="E373" i="1" a="1"/>
  <c r="E373" i="1" s="1"/>
  <c r="E374" i="1" a="1"/>
  <c r="E374" i="1" s="1"/>
  <c r="E375" i="1" a="1"/>
  <c r="E375" i="1" s="1"/>
  <c r="E376" i="1" a="1"/>
  <c r="E376" i="1" s="1"/>
  <c r="E377" i="1" a="1"/>
  <c r="E377" i="1" s="1"/>
  <c r="E378" i="1" a="1"/>
  <c r="E378" i="1" s="1"/>
  <c r="E379" i="1" a="1"/>
  <c r="E379" i="1" s="1"/>
  <c r="E380" i="1" a="1"/>
  <c r="E380" i="1" s="1"/>
  <c r="E381" i="1" a="1"/>
  <c r="E381" i="1" s="1"/>
  <c r="E382" i="1" a="1"/>
  <c r="E382" i="1" s="1"/>
  <c r="E383" i="1" a="1"/>
  <c r="E383" i="1" s="1"/>
  <c r="E384" i="1" a="1"/>
  <c r="E384" i="1" s="1"/>
  <c r="E385" i="1" a="1"/>
  <c r="E385" i="1" s="1"/>
  <c r="E386" i="1" a="1"/>
  <c r="E386" i="1" s="1"/>
  <c r="E387" i="1" a="1"/>
  <c r="E387" i="1" s="1"/>
  <c r="E388" i="1" a="1"/>
  <c r="E388" i="1" s="1"/>
  <c r="E389" i="1" a="1"/>
  <c r="E389" i="1" s="1"/>
  <c r="E390" i="1" a="1"/>
  <c r="E390" i="1" s="1"/>
  <c r="E391" i="1" a="1"/>
  <c r="E391" i="1" s="1"/>
  <c r="E392" i="1" a="1"/>
  <c r="E392" i="1" s="1"/>
  <c r="E393" i="1" a="1"/>
  <c r="E393" i="1" s="1"/>
  <c r="E394" i="1" a="1"/>
  <c r="E394" i="1" s="1"/>
  <c r="E395" i="1" a="1"/>
  <c r="E395" i="1" s="1"/>
  <c r="E396" i="1" a="1"/>
  <c r="E396" i="1" s="1"/>
  <c r="E397" i="1" a="1"/>
  <c r="E397" i="1" s="1"/>
  <c r="E398" i="1" a="1"/>
  <c r="E398" i="1" s="1"/>
  <c r="E399" i="1" a="1"/>
  <c r="E399" i="1" s="1"/>
  <c r="E400" i="1" a="1"/>
  <c r="E400" i="1" s="1"/>
  <c r="E401" i="1" a="1"/>
  <c r="E401" i="1" s="1"/>
  <c r="E402" i="1" a="1"/>
  <c r="E402" i="1" s="1"/>
  <c r="E403" i="1" a="1"/>
  <c r="E403" i="1" s="1"/>
  <c r="E404" i="1" a="1"/>
  <c r="E404" i="1" s="1"/>
  <c r="E405" i="1" a="1"/>
  <c r="E405" i="1" s="1"/>
  <c r="E406" i="1" a="1"/>
  <c r="E406" i="1" s="1"/>
  <c r="E407" i="1" a="1"/>
  <c r="E407" i="1" s="1"/>
  <c r="E408" i="1" a="1"/>
  <c r="E408" i="1" s="1"/>
  <c r="E409" i="1" a="1"/>
  <c r="E409" i="1" s="1"/>
  <c r="E410" i="1" a="1"/>
  <c r="E410" i="1" s="1"/>
  <c r="E411" i="1" a="1"/>
  <c r="E411" i="1" s="1"/>
  <c r="E412" i="1" a="1"/>
  <c r="E412" i="1" s="1"/>
  <c r="E413" i="1" a="1"/>
  <c r="E413" i="1" s="1"/>
  <c r="E414" i="1" a="1"/>
  <c r="E414" i="1" s="1"/>
  <c r="E415" i="1" a="1"/>
  <c r="E415" i="1" s="1"/>
  <c r="E416" i="1" a="1"/>
  <c r="E416" i="1" s="1"/>
  <c r="E417" i="1" a="1"/>
  <c r="E417" i="1" s="1"/>
  <c r="E418" i="1" a="1"/>
  <c r="E418" i="1" s="1"/>
  <c r="E419" i="1" a="1"/>
  <c r="E419" i="1" s="1"/>
  <c r="E420" i="1" a="1"/>
  <c r="E420" i="1" s="1"/>
  <c r="E421" i="1" a="1"/>
  <c r="E421" i="1" s="1"/>
  <c r="E422" i="1" a="1"/>
  <c r="E422" i="1" s="1"/>
  <c r="E423" i="1" a="1"/>
  <c r="E423" i="1" s="1"/>
  <c r="E424" i="1" a="1"/>
  <c r="E424" i="1" s="1"/>
  <c r="E425" i="1" a="1"/>
  <c r="E425" i="1" s="1"/>
  <c r="E426" i="1" a="1"/>
  <c r="E426" i="1" s="1"/>
  <c r="E427" i="1" a="1"/>
  <c r="E427" i="1" s="1"/>
  <c r="E428" i="1" a="1"/>
  <c r="E428" i="1" s="1"/>
  <c r="E429" i="1" a="1"/>
  <c r="E429" i="1" s="1"/>
  <c r="E430" i="1" a="1"/>
  <c r="E430" i="1" s="1"/>
  <c r="E431" i="1" a="1"/>
  <c r="E431" i="1" s="1"/>
  <c r="E432" i="1" a="1"/>
  <c r="E432" i="1" s="1"/>
  <c r="E433" i="1" a="1"/>
  <c r="E433" i="1" s="1"/>
  <c r="E434" i="1" a="1"/>
  <c r="E434" i="1" s="1"/>
  <c r="E435" i="1" a="1"/>
  <c r="E435" i="1" s="1"/>
  <c r="E436" i="1" a="1"/>
  <c r="E436" i="1" s="1"/>
  <c r="E437" i="1" a="1"/>
  <c r="E437" i="1" s="1"/>
  <c r="E438" i="1" a="1"/>
  <c r="E438" i="1" s="1"/>
  <c r="E439" i="1" a="1"/>
  <c r="E439" i="1" s="1"/>
  <c r="E440" i="1" a="1"/>
  <c r="E440" i="1" s="1"/>
  <c r="E441" i="1" a="1"/>
  <c r="E441" i="1" s="1"/>
  <c r="E442" i="1" a="1"/>
  <c r="E442" i="1" s="1"/>
  <c r="E443" i="1" a="1"/>
  <c r="E443" i="1" s="1"/>
  <c r="E444" i="1" a="1"/>
  <c r="E444" i="1" s="1"/>
  <c r="E445" i="1" a="1"/>
  <c r="E445" i="1" s="1"/>
  <c r="E446" i="1" a="1"/>
  <c r="E446" i="1" s="1"/>
  <c r="E447" i="1" a="1"/>
  <c r="E447" i="1" s="1"/>
  <c r="E448" i="1" a="1"/>
  <c r="E448" i="1" s="1"/>
  <c r="E449" i="1" a="1"/>
  <c r="E449" i="1" s="1"/>
  <c r="E450" i="1" a="1"/>
  <c r="E450" i="1" s="1"/>
  <c r="E451" i="1" a="1"/>
  <c r="E451" i="1" s="1"/>
  <c r="E452" i="1" a="1"/>
  <c r="E452" i="1" s="1"/>
  <c r="E453" i="1" a="1"/>
  <c r="E453" i="1" s="1"/>
  <c r="E454" i="1" a="1"/>
  <c r="E454" i="1" s="1"/>
  <c r="E455" i="1" a="1"/>
  <c r="E455" i="1" s="1"/>
  <c r="E456" i="1" a="1"/>
  <c r="E456" i="1" s="1"/>
  <c r="E457" i="1" a="1"/>
  <c r="E457" i="1" s="1"/>
  <c r="E458" i="1" a="1"/>
  <c r="E458" i="1" s="1"/>
  <c r="E459" i="1" a="1"/>
  <c r="E459" i="1" s="1"/>
  <c r="E460" i="1" a="1"/>
  <c r="E460" i="1" s="1"/>
  <c r="E461" i="1" a="1"/>
  <c r="E461" i="1" s="1"/>
  <c r="E462" i="1" a="1"/>
  <c r="E462" i="1" s="1"/>
  <c r="E463" i="1" a="1"/>
  <c r="E463" i="1" s="1"/>
  <c r="E464" i="1" a="1"/>
  <c r="E464" i="1" s="1"/>
  <c r="E465" i="1" a="1"/>
  <c r="E465" i="1" s="1"/>
  <c r="E466" i="1" a="1"/>
  <c r="E466" i="1" s="1"/>
  <c r="E2" i="1" a="1"/>
  <c r="E2" i="1" s="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2" i="1"/>
  <c r="E5" i="13"/>
  <c r="E7" i="12"/>
  <c r="E7" i="13"/>
  <c r="E4" i="13"/>
  <c r="E6" i="13"/>
  <c r="E4" i="12"/>
  <c r="E6" i="12"/>
  <c r="E5" i="12"/>
  <c r="E8" i="12"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<sst xmlns="http://schemas.openxmlformats.org/spreadsheetml/2006/main" count="2401" uniqueCount="966">
  <si>
    <t>patient_id</t>
  </si>
  <si>
    <t>appointment_id</t>
  </si>
  <si>
    <t>patient_name</t>
  </si>
  <si>
    <t>age</t>
  </si>
  <si>
    <t>gender</t>
  </si>
  <si>
    <t>doctor</t>
  </si>
  <si>
    <t>department</t>
  </si>
  <si>
    <t>follow_up_required</t>
  </si>
  <si>
    <t>Anthony Mcpherson</t>
  </si>
  <si>
    <t>Female</t>
  </si>
  <si>
    <t>Karen Parsons</t>
  </si>
  <si>
    <t>General</t>
  </si>
  <si>
    <t>No</t>
  </si>
  <si>
    <t>Raymond Williams</t>
  </si>
  <si>
    <t>Male</t>
  </si>
  <si>
    <t>James Brooks</t>
  </si>
  <si>
    <t>Neurology</t>
  </si>
  <si>
    <t>Dustin Willis</t>
  </si>
  <si>
    <t>Jamie Hill</t>
  </si>
  <si>
    <t>Yes</t>
  </si>
  <si>
    <t>Karen Walker</t>
  </si>
  <si>
    <t>Natalie White</t>
  </si>
  <si>
    <t>Chris Rice</t>
  </si>
  <si>
    <t>Amy Olson</t>
  </si>
  <si>
    <t>Andrew Oconnor</t>
  </si>
  <si>
    <t>Christina Hill</t>
  </si>
  <si>
    <t>Cardiology</t>
  </si>
  <si>
    <t>Dennis Hurley</t>
  </si>
  <si>
    <t>Daniel Jacobson</t>
  </si>
  <si>
    <t>Jennifer Aguirre</t>
  </si>
  <si>
    <t>Richard Huang</t>
  </si>
  <si>
    <t>Todd Wilson</t>
  </si>
  <si>
    <t>Rebecca Harrington</t>
  </si>
  <si>
    <t>Orthopedics</t>
  </si>
  <si>
    <t>Jeremiah Cole</t>
  </si>
  <si>
    <t>Louis Turner</t>
  </si>
  <si>
    <t>Vincent Brown</t>
  </si>
  <si>
    <t>Brianna Garcia</t>
  </si>
  <si>
    <t>Tracy Mcdonald</t>
  </si>
  <si>
    <t>Daniel Gutierrez</t>
  </si>
  <si>
    <t>Phillip Simpson</t>
  </si>
  <si>
    <t>Darren Brooks</t>
  </si>
  <si>
    <t>Cynthia Hensley</t>
  </si>
  <si>
    <t>David Robles</t>
  </si>
  <si>
    <t>Cassandra Gardner</t>
  </si>
  <si>
    <t>Gregory Kirk</t>
  </si>
  <si>
    <t>Patrick Saunders</t>
  </si>
  <si>
    <t>Casey Wagner</t>
  </si>
  <si>
    <t>Angel Kelly</t>
  </si>
  <si>
    <t>Stephanie Taylor</t>
  </si>
  <si>
    <t>Leslie Silva</t>
  </si>
  <si>
    <t>Thomas Brandt</t>
  </si>
  <si>
    <t>John Yang</t>
  </si>
  <si>
    <t>Anthony Jensen</t>
  </si>
  <si>
    <t>Judy Blair</t>
  </si>
  <si>
    <t>Kevin Benton</t>
  </si>
  <si>
    <t>Melanie Gibson</t>
  </si>
  <si>
    <t>Alison Stanton</t>
  </si>
  <si>
    <t>Donna West</t>
  </si>
  <si>
    <t>Troy Hill</t>
  </si>
  <si>
    <t>Loretta Richardson</t>
  </si>
  <si>
    <t>Shane Jackson</t>
  </si>
  <si>
    <t>Kathleen Jones</t>
  </si>
  <si>
    <t>Diana Baker</t>
  </si>
  <si>
    <t>Kari Jackson</t>
  </si>
  <si>
    <t>Jeremiah Rose</t>
  </si>
  <si>
    <t>Regina Wilson</t>
  </si>
  <si>
    <t>Jenny Zuniga</t>
  </si>
  <si>
    <t>Kathleen Porter</t>
  </si>
  <si>
    <t>Christine Calhoun</t>
  </si>
  <si>
    <t>Cheryl Michael</t>
  </si>
  <si>
    <t>Thomas Bennett</t>
  </si>
  <si>
    <t>Vanessa Jones</t>
  </si>
  <si>
    <t>Courtney Knight</t>
  </si>
  <si>
    <t>Tiffany Burke</t>
  </si>
  <si>
    <t>Charles Lopez</t>
  </si>
  <si>
    <t>Joseph Church</t>
  </si>
  <si>
    <t>Ricky Velazquez</t>
  </si>
  <si>
    <t>Heather Jackson</t>
  </si>
  <si>
    <t>Todd Silva</t>
  </si>
  <si>
    <t>Adam Sanders</t>
  </si>
  <si>
    <t>Patrick Floyd</t>
  </si>
  <si>
    <t>Edward Perry</t>
  </si>
  <si>
    <t>James Miller</t>
  </si>
  <si>
    <t>Matthew Cross</t>
  </si>
  <si>
    <t>Connie Wood</t>
  </si>
  <si>
    <t>Jordan Camacho Jr.</t>
  </si>
  <si>
    <t>Alexis Carter</t>
  </si>
  <si>
    <t>Elizabeth Bryant</t>
  </si>
  <si>
    <t>Rebecca Kim</t>
  </si>
  <si>
    <t>Clayton Williamson</t>
  </si>
  <si>
    <t>Glen Diaz</t>
  </si>
  <si>
    <t>Katelyn Miller</t>
  </si>
  <si>
    <t>Andrea Cruz</t>
  </si>
  <si>
    <t>Elizabeth Decker</t>
  </si>
  <si>
    <t>Brandi Hale</t>
  </si>
  <si>
    <t>James Johnston</t>
  </si>
  <si>
    <t>Drew Bartlett</t>
  </si>
  <si>
    <t>Christine Price</t>
  </si>
  <si>
    <t>Susan Brown</t>
  </si>
  <si>
    <t>Samuel Moore</t>
  </si>
  <si>
    <t>Heather Everett</t>
  </si>
  <si>
    <t>Jamie Mcclure</t>
  </si>
  <si>
    <t>Katherine Sanders</t>
  </si>
  <si>
    <t>Luke Price</t>
  </si>
  <si>
    <t>Virginia Lang</t>
  </si>
  <si>
    <t>Luis Rodriguez</t>
  </si>
  <si>
    <t>Samantha Bass MD</t>
  </si>
  <si>
    <t>Pamela Brown</t>
  </si>
  <si>
    <t>Melinda Duncan</t>
  </si>
  <si>
    <t>Justin Caldwell</t>
  </si>
  <si>
    <t>Ronnie Miller</t>
  </si>
  <si>
    <t>Adam Torres</t>
  </si>
  <si>
    <t>Daniel Le</t>
  </si>
  <si>
    <t>John Hensley</t>
  </si>
  <si>
    <t>Paul Tate</t>
  </si>
  <si>
    <t>Ryan Miller</t>
  </si>
  <si>
    <t>Alexa Peterson</t>
  </si>
  <si>
    <t>Kenneth Graham</t>
  </si>
  <si>
    <t>Wayne Graham</t>
  </si>
  <si>
    <t>Nicole Hoffman</t>
  </si>
  <si>
    <t>Robert Mitchell</t>
  </si>
  <si>
    <t>Amanda Fuller</t>
  </si>
  <si>
    <t>Anthony Cruz</t>
  </si>
  <si>
    <t>Destiny Martin</t>
  </si>
  <si>
    <t>Lynn Jones</t>
  </si>
  <si>
    <t>Victoria Gomez</t>
  </si>
  <si>
    <t>Nicole Chandler</t>
  </si>
  <si>
    <t>Daniel Rivera</t>
  </si>
  <si>
    <t>Morgan Green</t>
  </si>
  <si>
    <t>Harry Wallace</t>
  </si>
  <si>
    <t>Nancy Hernandez</t>
  </si>
  <si>
    <t>Alicia Scott</t>
  </si>
  <si>
    <t>William Cochran</t>
  </si>
  <si>
    <t>Russell Taylor</t>
  </si>
  <si>
    <t>Breanna Gray</t>
  </si>
  <si>
    <t>Kayla Drake</t>
  </si>
  <si>
    <t>Jennifer Long DDS</t>
  </si>
  <si>
    <t>Karen Carter</t>
  </si>
  <si>
    <t>Chase Clark</t>
  </si>
  <si>
    <t>Andrew Baker</t>
  </si>
  <si>
    <t>Michael Gillespie</t>
  </si>
  <si>
    <t>Kelsey Collins</t>
  </si>
  <si>
    <t>Gabrielle Collins</t>
  </si>
  <si>
    <t>Patricia King</t>
  </si>
  <si>
    <t>Jennifer Adams</t>
  </si>
  <si>
    <t>Troy White</t>
  </si>
  <si>
    <t>Cindy Cox</t>
  </si>
  <si>
    <t>David Young</t>
  </si>
  <si>
    <t>Amy Williams</t>
  </si>
  <si>
    <t>Tim Flowers</t>
  </si>
  <si>
    <t>Kimberly Henson</t>
  </si>
  <si>
    <t>Gregory Garcia</t>
  </si>
  <si>
    <t>Megan Jensen</t>
  </si>
  <si>
    <t>Max Martinez</t>
  </si>
  <si>
    <t>Joshua Sellers</t>
  </si>
  <si>
    <t>Paul Hinton</t>
  </si>
  <si>
    <t>Lindsey Fitzpatrick</t>
  </si>
  <si>
    <t>Corey Smith</t>
  </si>
  <si>
    <t>Luke Williams</t>
  </si>
  <si>
    <t>Craig Hunt</t>
  </si>
  <si>
    <t>Cynthia Brown</t>
  </si>
  <si>
    <t>Nathaniel Wood</t>
  </si>
  <si>
    <t>Alec Hill</t>
  </si>
  <si>
    <t>Jeffrey Bates</t>
  </si>
  <si>
    <t>Lisa Ho</t>
  </si>
  <si>
    <t>Kevin Johnson</t>
  </si>
  <si>
    <t>Lance Smith</t>
  </si>
  <si>
    <t>Kelli Page</t>
  </si>
  <si>
    <t>Stephanie Wall</t>
  </si>
  <si>
    <t>Christopher Singleton</t>
  </si>
  <si>
    <t>Brandy Graves</t>
  </si>
  <si>
    <t>Caroline Reed</t>
  </si>
  <si>
    <t>Eric Kelly</t>
  </si>
  <si>
    <t>Jennifer Wells</t>
  </si>
  <si>
    <t>David Cole</t>
  </si>
  <si>
    <t>Malik Robinson</t>
  </si>
  <si>
    <t>Amber Little</t>
  </si>
  <si>
    <t>Michael Glenn</t>
  </si>
  <si>
    <t>Robert Martinez</t>
  </si>
  <si>
    <t>Anthony Cortez</t>
  </si>
  <si>
    <t>Derrick Cook</t>
  </si>
  <si>
    <t>Daniel Cole</t>
  </si>
  <si>
    <t>Dustin Jones</t>
  </si>
  <si>
    <t>Brenda Ward</t>
  </si>
  <si>
    <t>Tonya Smith</t>
  </si>
  <si>
    <t>Carl Sanchez</t>
  </si>
  <si>
    <t>Christina Price</t>
  </si>
  <si>
    <t>Bradley Fuller</t>
  </si>
  <si>
    <t>Judy Nguyen</t>
  </si>
  <si>
    <t>Michelle Ortega</t>
  </si>
  <si>
    <t>Sandra Murphy</t>
  </si>
  <si>
    <t>Shelby Brown</t>
  </si>
  <si>
    <t>Ariel Davis</t>
  </si>
  <si>
    <t>Jason Gallagher</t>
  </si>
  <si>
    <t>William Lewis</t>
  </si>
  <si>
    <t>Wesley Johnson</t>
  </si>
  <si>
    <t>William Sparks</t>
  </si>
  <si>
    <t>Jeffrey Ashley Jr.</t>
  </si>
  <si>
    <t>Brandon Martin</t>
  </si>
  <si>
    <t>John Miller</t>
  </si>
  <si>
    <t>Amanda Martinez</t>
  </si>
  <si>
    <t>Gary Bowman</t>
  </si>
  <si>
    <t>Nancy Barry</t>
  </si>
  <si>
    <t>Katherine Espinoza</t>
  </si>
  <si>
    <t>Megan Avery</t>
  </si>
  <si>
    <t>Michael Arroyo Jr.</t>
  </si>
  <si>
    <t>Judy Avila</t>
  </si>
  <si>
    <t>Morgan Ramos</t>
  </si>
  <si>
    <t>Christine Murphy</t>
  </si>
  <si>
    <t>Amanda Mendoza</t>
  </si>
  <si>
    <t>Eric Coffey</t>
  </si>
  <si>
    <t>Jeffrey Burns</t>
  </si>
  <si>
    <t>Chris Wells</t>
  </si>
  <si>
    <t>Crystal Medina</t>
  </si>
  <si>
    <t>Dr. John Hernandez</t>
  </si>
  <si>
    <t>Michelle Austin</t>
  </si>
  <si>
    <t>Vanessa Allen</t>
  </si>
  <si>
    <t>Amy Chavez</t>
  </si>
  <si>
    <t>Virginia Flores</t>
  </si>
  <si>
    <t>Leonard Macias</t>
  </si>
  <si>
    <t>Mackenzie Walker</t>
  </si>
  <si>
    <t>Jenny Wright</t>
  </si>
  <si>
    <t>Dale Fisher</t>
  </si>
  <si>
    <t>Dr. Heidi Johnson</t>
  </si>
  <si>
    <t>Deborah Wagner</t>
  </si>
  <si>
    <t>Cesar Sanchez</t>
  </si>
  <si>
    <t>Christine Vega</t>
  </si>
  <si>
    <t>Jordan Cole</t>
  </si>
  <si>
    <t>Haley Taylor</t>
  </si>
  <si>
    <t>Christopher Wolfe</t>
  </si>
  <si>
    <t>Linda Nicholson</t>
  </si>
  <si>
    <t>Melissa Daniels</t>
  </si>
  <si>
    <t>Joseph Banks</t>
  </si>
  <si>
    <t>Susan Kelley</t>
  </si>
  <si>
    <t>Jared Parrish</t>
  </si>
  <si>
    <t>Wendy Herrera</t>
  </si>
  <si>
    <t>Laura Lopez</t>
  </si>
  <si>
    <t>Julie Phillips</t>
  </si>
  <si>
    <t>Joshua Sanford</t>
  </si>
  <si>
    <t>Tara Montoya</t>
  </si>
  <si>
    <t>Mark Bowers</t>
  </si>
  <si>
    <t>Antonio Bryant</t>
  </si>
  <si>
    <t>Robert Torres</t>
  </si>
  <si>
    <t>Kyle Phillips</t>
  </si>
  <si>
    <t>Mason Morgan</t>
  </si>
  <si>
    <t>James Cobb</t>
  </si>
  <si>
    <t>Jeffrey Hart</t>
  </si>
  <si>
    <t>Jacob Townsend</t>
  </si>
  <si>
    <t>Donna Jenkins</t>
  </si>
  <si>
    <t>Rachel Allen</t>
  </si>
  <si>
    <t>Matthew Cox</t>
  </si>
  <si>
    <t>Alexander Horton</t>
  </si>
  <si>
    <t>Zachary Frazier</t>
  </si>
  <si>
    <t>Tamara Thompson</t>
  </si>
  <si>
    <t>Thomas Smith</t>
  </si>
  <si>
    <t>Kenneth Turner</t>
  </si>
  <si>
    <t>Autumn Griffin</t>
  </si>
  <si>
    <t>Isabel Harris</t>
  </si>
  <si>
    <t>Adam Shelton</t>
  </si>
  <si>
    <t>Mary Thompson</t>
  </si>
  <si>
    <t>Alyssa Lucas</t>
  </si>
  <si>
    <t>Daniel Ryan</t>
  </si>
  <si>
    <t>Michael White</t>
  </si>
  <si>
    <t>Seth Ramirez</t>
  </si>
  <si>
    <t>Jodi Floyd</t>
  </si>
  <si>
    <t>Brett Arnold</t>
  </si>
  <si>
    <t>Janet Gordon</t>
  </si>
  <si>
    <t>Michelle Johnson</t>
  </si>
  <si>
    <t>Steve Ramirez</t>
  </si>
  <si>
    <t>Michelle Jones</t>
  </si>
  <si>
    <t>Robert Mason</t>
  </si>
  <si>
    <t>Steven Mercer</t>
  </si>
  <si>
    <t>Rachel Nguyen</t>
  </si>
  <si>
    <t>John Wolf</t>
  </si>
  <si>
    <t>Matthew Davis</t>
  </si>
  <si>
    <t>Megan Lopez</t>
  </si>
  <si>
    <t>Ashley Daniels</t>
  </si>
  <si>
    <t>Robert Davies</t>
  </si>
  <si>
    <t>Dana Park</t>
  </si>
  <si>
    <t>Christopher Garrett</t>
  </si>
  <si>
    <t>Michael Short</t>
  </si>
  <si>
    <t>Charles Hess</t>
  </si>
  <si>
    <t>Allison Mcgrath</t>
  </si>
  <si>
    <t>Morgan Mccoy</t>
  </si>
  <si>
    <t>Dustin Perry</t>
  </si>
  <si>
    <t>Adam Moore</t>
  </si>
  <si>
    <t>Rachel Russo</t>
  </si>
  <si>
    <t>Christine Wilson</t>
  </si>
  <si>
    <t>Dana Martinez</t>
  </si>
  <si>
    <t>Barry Bennett</t>
  </si>
  <si>
    <t>Kimberly Robinson</t>
  </si>
  <si>
    <t>Michael Wright</t>
  </si>
  <si>
    <t>Robert Rodriguez</t>
  </si>
  <si>
    <t>Stephanie Douglas</t>
  </si>
  <si>
    <t>Rita Joyce</t>
  </si>
  <si>
    <t>Diana Neal</t>
  </si>
  <si>
    <t>Kimberly Meyer</t>
  </si>
  <si>
    <t>Christopher Perez</t>
  </si>
  <si>
    <t>Kelly Morris</t>
  </si>
  <si>
    <t>Matthew Mccann</t>
  </si>
  <si>
    <t>Kevin Thompson</t>
  </si>
  <si>
    <t>Lynn Cruz</t>
  </si>
  <si>
    <t>April Braun</t>
  </si>
  <si>
    <t>Jacob Mendoza</t>
  </si>
  <si>
    <t>Randy Austin</t>
  </si>
  <si>
    <t>Dr. Deborah Fitzgerald</t>
  </si>
  <si>
    <t>Anthony Martin</t>
  </si>
  <si>
    <t>Alex Richards</t>
  </si>
  <si>
    <t>Lauren Gardner</t>
  </si>
  <si>
    <t>Alison Castro</t>
  </si>
  <si>
    <t>Daniel Willis</t>
  </si>
  <si>
    <t>Megan Austin</t>
  </si>
  <si>
    <t>Shawn Moore</t>
  </si>
  <si>
    <t>Rebecca Ward</t>
  </si>
  <si>
    <t>Sherry Wilson</t>
  </si>
  <si>
    <t>Pamela Wiley</t>
  </si>
  <si>
    <t>Nicole Evans</t>
  </si>
  <si>
    <t>Ashley Cuevas</t>
  </si>
  <si>
    <t>Samantha Wallace</t>
  </si>
  <si>
    <t>Charles Jackson</t>
  </si>
  <si>
    <t>Tracey Beck</t>
  </si>
  <si>
    <t>Logan Cooper</t>
  </si>
  <si>
    <t>Ray Mcbride</t>
  </si>
  <si>
    <t>Natalie Turner</t>
  </si>
  <si>
    <t>Kelly Mason</t>
  </si>
  <si>
    <t>Laura Edwards</t>
  </si>
  <si>
    <t>Anne Jones DVM</t>
  </si>
  <si>
    <t>Linda French</t>
  </si>
  <si>
    <t>Andrea Mendez</t>
  </si>
  <si>
    <t>Joshua Reed</t>
  </si>
  <si>
    <t>Andrea Murray</t>
  </si>
  <si>
    <t>Alexa Martin</t>
  </si>
  <si>
    <t>Michele Green</t>
  </si>
  <si>
    <t>Kyle Jones</t>
  </si>
  <si>
    <t>Cheryl Mullins</t>
  </si>
  <si>
    <t>Erin Baker</t>
  </si>
  <si>
    <t>Carla King</t>
  </si>
  <si>
    <t>Cheryl Calderon</t>
  </si>
  <si>
    <t>Michael Adams</t>
  </si>
  <si>
    <t>Danielle Barrett</t>
  </si>
  <si>
    <t>Gregory Griffin</t>
  </si>
  <si>
    <t>James Fox</t>
  </si>
  <si>
    <t>Victoria Osborne</t>
  </si>
  <si>
    <t>Evan Price</t>
  </si>
  <si>
    <t>Brooke Ramos</t>
  </si>
  <si>
    <t>Vanessa Graves</t>
  </si>
  <si>
    <t>Leslie Smith</t>
  </si>
  <si>
    <t>Logan Sampson</t>
  </si>
  <si>
    <t>Tiffany Melendez</t>
  </si>
  <si>
    <t>Alison Wolfe</t>
  </si>
  <si>
    <t>Michelle Thomas</t>
  </si>
  <si>
    <t>Kevin Jackson</t>
  </si>
  <si>
    <t>David Love</t>
  </si>
  <si>
    <t>Emily Miller</t>
  </si>
  <si>
    <t>Nicole Bates</t>
  </si>
  <si>
    <t>Gabriela Pope</t>
  </si>
  <si>
    <t>Melissa Brown</t>
  </si>
  <si>
    <t>Alexa Landry</t>
  </si>
  <si>
    <t>Larry Delgado</t>
  </si>
  <si>
    <t>Erica Thompson</t>
  </si>
  <si>
    <t>Jill Kelley</t>
  </si>
  <si>
    <t>Sandra Russo</t>
  </si>
  <si>
    <t>Michael Alexander</t>
  </si>
  <si>
    <t>Rachel Simmons</t>
  </si>
  <si>
    <t>Robert Sanchez</t>
  </si>
  <si>
    <t>Mr. Phillip Baxter</t>
  </si>
  <si>
    <t>Tricia Hunt</t>
  </si>
  <si>
    <t>Diana Schroeder</t>
  </si>
  <si>
    <t>Alexandra Lee</t>
  </si>
  <si>
    <t>Justin Chen</t>
  </si>
  <si>
    <t>Jack Sutton</t>
  </si>
  <si>
    <t>Paul Giles</t>
  </si>
  <si>
    <t>Rachel Carlson</t>
  </si>
  <si>
    <t>Paul Martinez</t>
  </si>
  <si>
    <t>Miss Stacey Weaver</t>
  </si>
  <si>
    <t>Rachel Wilson</t>
  </si>
  <si>
    <t>Erica Robbins</t>
  </si>
  <si>
    <t>Matthew Carlson</t>
  </si>
  <si>
    <t>Daniel Valenzuela</t>
  </si>
  <si>
    <t>Karen Brewer</t>
  </si>
  <si>
    <t>Alexander Jones</t>
  </si>
  <si>
    <t>Mary Ward</t>
  </si>
  <si>
    <t>Robert Myers DDS</t>
  </si>
  <si>
    <t>Luis Smith</t>
  </si>
  <si>
    <t>Jenna Williams</t>
  </si>
  <si>
    <t>Ryan Mitchell</t>
  </si>
  <si>
    <t>Jamie Nixon</t>
  </si>
  <si>
    <t>Scott Allen</t>
  </si>
  <si>
    <t>Thomas Banks</t>
  </si>
  <si>
    <t>George Stevens</t>
  </si>
  <si>
    <t>Lori Montgomery</t>
  </si>
  <si>
    <t>Christy Fisher</t>
  </si>
  <si>
    <t>Sarah Fuller</t>
  </si>
  <si>
    <t>Cody Ortega</t>
  </si>
  <si>
    <t>Brandy Navarro</t>
  </si>
  <si>
    <t>Matthew Nichols</t>
  </si>
  <si>
    <t>Thomas Nash</t>
  </si>
  <si>
    <t>Justin Flores</t>
  </si>
  <si>
    <t>Michael Sullivan</t>
  </si>
  <si>
    <t>Angela Thomas</t>
  </si>
  <si>
    <t>Brandon Garcia</t>
  </si>
  <si>
    <t>Penny West</t>
  </si>
  <si>
    <t>Heather Ortiz</t>
  </si>
  <si>
    <t>Michelle Mcclain</t>
  </si>
  <si>
    <t>Mrs. Amy Miller</t>
  </si>
  <si>
    <t>Jennifer Davis</t>
  </si>
  <si>
    <t>Michael Bryant</t>
  </si>
  <si>
    <t>Henry Snyder</t>
  </si>
  <si>
    <t>Theresa Simon</t>
  </si>
  <si>
    <t>Sabrina Wade</t>
  </si>
  <si>
    <t>Randy Vargas</t>
  </si>
  <si>
    <t>Kayla Mccormick</t>
  </si>
  <si>
    <t>Robert Burton</t>
  </si>
  <si>
    <t>Mark Reeves</t>
  </si>
  <si>
    <t>Mark Hill</t>
  </si>
  <si>
    <t>Melissa Richmond</t>
  </si>
  <si>
    <t>Jasmin Holmes</t>
  </si>
  <si>
    <t>Linda Murphy</t>
  </si>
  <si>
    <t>Margaret Montoya</t>
  </si>
  <si>
    <t>Michael Gonzales</t>
  </si>
  <si>
    <t>Richard Torres</t>
  </si>
  <si>
    <t>Samantha Garner</t>
  </si>
  <si>
    <t>Jacob Hobbs</t>
  </si>
  <si>
    <t>Jennifer Schwartz</t>
  </si>
  <si>
    <t>Tamara Smith</t>
  </si>
  <si>
    <t>William Conley</t>
  </si>
  <si>
    <t>Thomas Wallace</t>
  </si>
  <si>
    <t>Kelly Ayers</t>
  </si>
  <si>
    <t>Justin Taylor</t>
  </si>
  <si>
    <t>James Perry</t>
  </si>
  <si>
    <t>Leonard Campbell</t>
  </si>
  <si>
    <t>Steven Phelps</t>
  </si>
  <si>
    <t>Darren Williams</t>
  </si>
  <si>
    <t>Mark Daniels</t>
  </si>
  <si>
    <t>Kimberly Pierce</t>
  </si>
  <si>
    <t>Elaine Williams</t>
  </si>
  <si>
    <t>Daniel Carlson</t>
  </si>
  <si>
    <t>Ryan Kennedy</t>
  </si>
  <si>
    <t>Scott Shannon</t>
  </si>
  <si>
    <t>Jennifer Jackson</t>
  </si>
  <si>
    <t>Frank Harrell</t>
  </si>
  <si>
    <t>Brittany Wall</t>
  </si>
  <si>
    <t>Willie Dean</t>
  </si>
  <si>
    <t>Sharon Lopez</t>
  </si>
  <si>
    <t>Yolanda Richardson</t>
  </si>
  <si>
    <t>Timothy Ramirez</t>
  </si>
  <si>
    <t>Tiffany Shepherd</t>
  </si>
  <si>
    <t>Mary Garcia</t>
  </si>
  <si>
    <t>Brianna Ortega</t>
  </si>
  <si>
    <t>Monica Mcclure</t>
  </si>
  <si>
    <t>Martha Byrd</t>
  </si>
  <si>
    <t>Melissa Wagner</t>
  </si>
  <si>
    <t>Megan Garcia</t>
  </si>
  <si>
    <t>Cynthia Jones</t>
  </si>
  <si>
    <t>Eugene Little</t>
  </si>
  <si>
    <t>Henry Quinn</t>
  </si>
  <si>
    <t>Audrey Hansen</t>
  </si>
  <si>
    <t>Jake Robinson</t>
  </si>
  <si>
    <t>Nathan Quinn</t>
  </si>
  <si>
    <t>Kimberly Morrison</t>
  </si>
  <si>
    <t>Brian Young</t>
  </si>
  <si>
    <t>Ricardo White</t>
  </si>
  <si>
    <t>Tanya Barker</t>
  </si>
  <si>
    <t>Abigail Holt</t>
  </si>
  <si>
    <t>Jacob Mays</t>
  </si>
  <si>
    <t>Katherine Rogers</t>
  </si>
  <si>
    <t>Morgan Edwards</t>
  </si>
  <si>
    <t>Troy Marshall</t>
  </si>
  <si>
    <t>Benjamin Robinson</t>
  </si>
  <si>
    <t>Corey Turner</t>
  </si>
  <si>
    <t>Heidi Baker</t>
  </si>
  <si>
    <t>Jeffrey Martinez</t>
  </si>
  <si>
    <t>Michael Ross</t>
  </si>
  <si>
    <t>Pamela Dalton</t>
  </si>
  <si>
    <t>Christopher Jones</t>
  </si>
  <si>
    <t>Rebecca Parrish</t>
  </si>
  <si>
    <t>Jordan Shelton</t>
  </si>
  <si>
    <t>Dominic Bell</t>
  </si>
  <si>
    <t>April Castillo</t>
  </si>
  <si>
    <t>Gregory Arellano</t>
  </si>
  <si>
    <t>Natalie Smith</t>
  </si>
  <si>
    <t>Laura Chan</t>
  </si>
  <si>
    <t>Reginald Miller</t>
  </si>
  <si>
    <t>Ronald Gonzalez</t>
  </si>
  <si>
    <t>Crystal Mueller</t>
  </si>
  <si>
    <t>Allison Ramos</t>
  </si>
  <si>
    <t>Chase Ford</t>
  </si>
  <si>
    <t>Christopher Brown</t>
  </si>
  <si>
    <t>Henry Moore</t>
  </si>
  <si>
    <t>Matthew Herrera</t>
  </si>
  <si>
    <t>Cody Murray</t>
  </si>
  <si>
    <t>Cassandra Cain</t>
  </si>
  <si>
    <t>Jessica Williams</t>
  </si>
  <si>
    <t>Erik Martinez</t>
  </si>
  <si>
    <t>Jennifer Carroll</t>
  </si>
  <si>
    <t>Rebecca Carey DDS</t>
  </si>
  <si>
    <t>David Carter</t>
  </si>
  <si>
    <t>Heidi Alvarez</t>
  </si>
  <si>
    <t>Jeremy Wilson</t>
  </si>
  <si>
    <t>Bryan Fritz</t>
  </si>
  <si>
    <t>Kelsey Hernandez</t>
  </si>
  <si>
    <t>Donald Reed</t>
  </si>
  <si>
    <t>Danny Webster</t>
  </si>
  <si>
    <t>Alexis Moody</t>
  </si>
  <si>
    <t>Jennifer Reyes</t>
  </si>
  <si>
    <t>Carol Williams</t>
  </si>
  <si>
    <t>Joshua Gomez</t>
  </si>
  <si>
    <t>Tracie Jefferson</t>
  </si>
  <si>
    <t>Margaret Robinson</t>
  </si>
  <si>
    <t>Aaron Young</t>
  </si>
  <si>
    <t>Wendy Cochran</t>
  </si>
  <si>
    <t>Terry Dennis</t>
  </si>
  <si>
    <t>Kelsey Scott</t>
  </si>
  <si>
    <t>Michael Newman MD</t>
  </si>
  <si>
    <t>Ronald Santos</t>
  </si>
  <si>
    <t>Nicole Green</t>
  </si>
  <si>
    <t>Charles Owens</t>
  </si>
  <si>
    <t>Robin Donovan</t>
  </si>
  <si>
    <t>Brian Brown</t>
  </si>
  <si>
    <t>Bryan Meyers</t>
  </si>
  <si>
    <t>Michael Trevino</t>
  </si>
  <si>
    <t>Deanna Manning</t>
  </si>
  <si>
    <t>Austin Stout</t>
  </si>
  <si>
    <t>Steven Henderson</t>
  </si>
  <si>
    <t>Nicole Martinez</t>
  </si>
  <si>
    <t>Brittany Thompson</t>
  </si>
  <si>
    <t>Wendy Davis</t>
  </si>
  <si>
    <t>Kayla Williams</t>
  </si>
  <si>
    <t>Aaron Cooper</t>
  </si>
  <si>
    <t>Victoria Young</t>
  </si>
  <si>
    <t>Lauren Whitaker</t>
  </si>
  <si>
    <t>Robert Lewis</t>
  </si>
  <si>
    <t>Samantha Cameron</t>
  </si>
  <si>
    <t>Jeremiah Perez</t>
  </si>
  <si>
    <t>Michael Black</t>
  </si>
  <si>
    <t>Kathy Rhodes</t>
  </si>
  <si>
    <t>Rachel Bright</t>
  </si>
  <si>
    <t>Louis Craig</t>
  </si>
  <si>
    <t>Rachel Wood</t>
  </si>
  <si>
    <t>Jenny Black</t>
  </si>
  <si>
    <t>Jamie Nunez</t>
  </si>
  <si>
    <t>Sarah Davis</t>
  </si>
  <si>
    <t>Rebecca Thompson</t>
  </si>
  <si>
    <t>Heidi Sosa</t>
  </si>
  <si>
    <t>Nancy Wilson</t>
  </si>
  <si>
    <t>Dalton Rodriguez</t>
  </si>
  <si>
    <t>Erica Sanchez</t>
  </si>
  <si>
    <t>Brandi Boyd</t>
  </si>
  <si>
    <t>Mary Jacobson</t>
  </si>
  <si>
    <t>David Jones</t>
  </si>
  <si>
    <t>Dakota Fleming</t>
  </si>
  <si>
    <t>Zachary Lewis</t>
  </si>
  <si>
    <t>Gary Washington</t>
  </si>
  <si>
    <t>Andrea Anderson</t>
  </si>
  <si>
    <t>Mary Burgess</t>
  </si>
  <si>
    <t>Jerry Holmes</t>
  </si>
  <si>
    <t>Kim Daniels</t>
  </si>
  <si>
    <t>Kimberly Diaz</t>
  </si>
  <si>
    <t>David Guzman</t>
  </si>
  <si>
    <t>Nathaniel White</t>
  </si>
  <si>
    <t>Andrew Clark</t>
  </si>
  <si>
    <t>Peter Pierce</t>
  </si>
  <si>
    <t>Deborah Snyder</t>
  </si>
  <si>
    <t>Jacqueline Collins</t>
  </si>
  <si>
    <t>Paul Parker</t>
  </si>
  <si>
    <t>Ms. Kristen Johnson</t>
  </si>
  <si>
    <t>Susan Griffin</t>
  </si>
  <si>
    <t>Jesse Wood</t>
  </si>
  <si>
    <t>Deborah Vasquez</t>
  </si>
  <si>
    <t>James Price</t>
  </si>
  <si>
    <t>Jessica Garcia</t>
  </si>
  <si>
    <t>Tracy Smith</t>
  </si>
  <si>
    <t>Amber Baxter</t>
  </si>
  <si>
    <t>Stephanie Carr</t>
  </si>
  <si>
    <t>David Colon</t>
  </si>
  <si>
    <t>Leonard Clark</t>
  </si>
  <si>
    <t>Robert Foster</t>
  </si>
  <si>
    <t>Ryan Tucker</t>
  </si>
  <si>
    <t>Barbara Owens</t>
  </si>
  <si>
    <t>Kelsey Rice</t>
  </si>
  <si>
    <t>Darren Jensen</t>
  </si>
  <si>
    <t>Monique Daniels</t>
  </si>
  <si>
    <t>Alexander Brown</t>
  </si>
  <si>
    <t>Joseph Mcmillan</t>
  </si>
  <si>
    <t>Frederick Nielsen</t>
  </si>
  <si>
    <t>Miss Christine Lopez</t>
  </si>
  <si>
    <t>Cynthia Turner</t>
  </si>
  <si>
    <t>James Mendez</t>
  </si>
  <si>
    <t>Jackie Brooks</t>
  </si>
  <si>
    <t>Kelly Hess</t>
  </si>
  <si>
    <t>Seth Benson</t>
  </si>
  <si>
    <t>Jennifer Williams</t>
  </si>
  <si>
    <t>Emily Barnes</t>
  </si>
  <si>
    <t>Holly Potter</t>
  </si>
  <si>
    <t>Christina Mitchell</t>
  </si>
  <si>
    <t>Wendy Andrews</t>
  </si>
  <si>
    <t>Kimberly Wilcox</t>
  </si>
  <si>
    <t>Javier Hawkins</t>
  </si>
  <si>
    <t>Debra Fields</t>
  </si>
  <si>
    <t>Sonya Wheeler</t>
  </si>
  <si>
    <t>Adam Carlson</t>
  </si>
  <si>
    <t>Crystal Oneal</t>
  </si>
  <si>
    <t>Harold Gray</t>
  </si>
  <si>
    <t>Justin White</t>
  </si>
  <si>
    <t>Jose Jackson</t>
  </si>
  <si>
    <t>Meghan Evans</t>
  </si>
  <si>
    <t>Courtney Yang</t>
  </si>
  <si>
    <t>Melanie Hernandez</t>
  </si>
  <si>
    <t>Adam Anderson</t>
  </si>
  <si>
    <t>Nicole Garcia</t>
  </si>
  <si>
    <t>Guy Vaughn</t>
  </si>
  <si>
    <t>Bryan Armstrong</t>
  </si>
  <si>
    <t>Robert Escobar</t>
  </si>
  <si>
    <t>Lisa Hill</t>
  </si>
  <si>
    <t>Mia Boyd</t>
  </si>
  <si>
    <t>Bradley Myers</t>
  </si>
  <si>
    <t>Mark Barrett</t>
  </si>
  <si>
    <t>Derek Smith</t>
  </si>
  <si>
    <t>Jeremy Burton</t>
  </si>
  <si>
    <t>Taylor Farley</t>
  </si>
  <si>
    <t>Christy Lewis</t>
  </si>
  <si>
    <t>Richard Richardson</t>
  </si>
  <si>
    <t>Robin Hebert</t>
  </si>
  <si>
    <t>Ryan Rodriguez</t>
  </si>
  <si>
    <t>Eric Kennedy</t>
  </si>
  <si>
    <t>Jeremy Coleman</t>
  </si>
  <si>
    <t>David Riley</t>
  </si>
  <si>
    <t>Alexander Williams</t>
  </si>
  <si>
    <t>Erin Chandler</t>
  </si>
  <si>
    <t>Mary Wilson</t>
  </si>
  <si>
    <t>Misty Higgins</t>
  </si>
  <si>
    <t>Robert Wade</t>
  </si>
  <si>
    <t>Phillip Shelton</t>
  </si>
  <si>
    <t>Oscar Luna</t>
  </si>
  <si>
    <t>John Stewart</t>
  </si>
  <si>
    <t>Lance Hobbs</t>
  </si>
  <si>
    <t>Mr. James Brown</t>
  </si>
  <si>
    <t>Daniel White</t>
  </si>
  <si>
    <t>Chad Johnson</t>
  </si>
  <si>
    <t>Eddie Tate</t>
  </si>
  <si>
    <t>Paul Johnson</t>
  </si>
  <si>
    <t>Katherine Rios</t>
  </si>
  <si>
    <t>Elizabeth Foster</t>
  </si>
  <si>
    <t>Jennifer Shaffer</t>
  </si>
  <si>
    <t>Brittany Watson</t>
  </si>
  <si>
    <t>Leslie Newman</t>
  </si>
  <si>
    <t>Lindsey Mendoza</t>
  </si>
  <si>
    <t>Lindsey Sullivan MD</t>
  </si>
  <si>
    <t>David Barnett</t>
  </si>
  <si>
    <t>Kenneth Cox</t>
  </si>
  <si>
    <t>Brian Walker</t>
  </si>
  <si>
    <t>Susan Winters</t>
  </si>
  <si>
    <t>Christopher Simpson</t>
  </si>
  <si>
    <t>Marissa Randall</t>
  </si>
  <si>
    <t>Kent Cannon</t>
  </si>
  <si>
    <t>Shannon Vargas</t>
  </si>
  <si>
    <t>Brian Caldwell</t>
  </si>
  <si>
    <t>Gary Simpson</t>
  </si>
  <si>
    <t>Veronica Chen</t>
  </si>
  <si>
    <t>Gary Ramos</t>
  </si>
  <si>
    <t>Gregory Riley</t>
  </si>
  <si>
    <t>Lisa Smith</t>
  </si>
  <si>
    <t>Daniel Beck</t>
  </si>
  <si>
    <t>Eric Lawson</t>
  </si>
  <si>
    <t>Andrew Webb</t>
  </si>
  <si>
    <t>Vanessa Wright</t>
  </si>
  <si>
    <t>Virginia Sharp</t>
  </si>
  <si>
    <t>Edward Thomas</t>
  </si>
  <si>
    <t>Teresa Medina</t>
  </si>
  <si>
    <t>Sandra Hill</t>
  </si>
  <si>
    <t>Julie May</t>
  </si>
  <si>
    <t>Ashlee Warren</t>
  </si>
  <si>
    <t>Cynthia Cruz</t>
  </si>
  <si>
    <t>Alexander Vega</t>
  </si>
  <si>
    <t>Karen Gomez</t>
  </si>
  <si>
    <t>Jackie Lane</t>
  </si>
  <si>
    <t>Jackie Harper</t>
  </si>
  <si>
    <t>Shawn Cordova</t>
  </si>
  <si>
    <t>Wendy Mcguire</t>
  </si>
  <si>
    <t>Christina Macdonald</t>
  </si>
  <si>
    <t>Samuel Ramirez</t>
  </si>
  <si>
    <t>Dylan Jones</t>
  </si>
  <si>
    <t>Katherine Small</t>
  </si>
  <si>
    <t>Lori Dean</t>
  </si>
  <si>
    <t>Theresa Williams</t>
  </si>
  <si>
    <t>Jill Mcconnell</t>
  </si>
  <si>
    <t>Jessica Miller</t>
  </si>
  <si>
    <t>Kyle Barnes Jr.</t>
  </si>
  <si>
    <t>Donna Peters</t>
  </si>
  <si>
    <t>Jeffrey Warren</t>
  </si>
  <si>
    <t>Mrs. Michelle Reed</t>
  </si>
  <si>
    <t>Andre Crosby</t>
  </si>
  <si>
    <t>Douglas Smith</t>
  </si>
  <si>
    <t>Dennis Jacobs</t>
  </si>
  <si>
    <t>Katherine Long</t>
  </si>
  <si>
    <t>Edward Black</t>
  </si>
  <si>
    <t>Nathan Summers</t>
  </si>
  <si>
    <t>Lindsey Green</t>
  </si>
  <si>
    <t>James Fleming</t>
  </si>
  <si>
    <t>Sarah Hernandez</t>
  </si>
  <si>
    <t>Jeremy Mclaughlin</t>
  </si>
  <si>
    <t>Christina Eaton</t>
  </si>
  <si>
    <t>Stephanie Kelley DVM</t>
  </si>
  <si>
    <t>Angela Rogers</t>
  </si>
  <si>
    <t>Dr. Brian Smith</t>
  </si>
  <si>
    <t>Brian Clarke</t>
  </si>
  <si>
    <t>Amanda Hoffman</t>
  </si>
  <si>
    <t>Mrs. Jennifer Ingram</t>
  </si>
  <si>
    <t>Katrina Williams MD</t>
  </si>
  <si>
    <t>Troy Torres</t>
  </si>
  <si>
    <t>Matthew Carney</t>
  </si>
  <si>
    <t>Jade Blanchard MD</t>
  </si>
  <si>
    <t>Amber Waters</t>
  </si>
  <si>
    <t>Pamela Johnson</t>
  </si>
  <si>
    <t>Crystal Garza</t>
  </si>
  <si>
    <t>Glenn Wall</t>
  </si>
  <si>
    <t>Sarah Peterson</t>
  </si>
  <si>
    <t>Christopher Beard</t>
  </si>
  <si>
    <t>Jerry Torres</t>
  </si>
  <si>
    <t>Peter Schaefer</t>
  </si>
  <si>
    <t>Carlos Spence</t>
  </si>
  <si>
    <t>Andrew Cross</t>
  </si>
  <si>
    <t>Victor Warner</t>
  </si>
  <si>
    <t>Jonathan Fernandez</t>
  </si>
  <si>
    <t>Luis Nolan</t>
  </si>
  <si>
    <t>Anthony Nash</t>
  </si>
  <si>
    <t>Brianna Shea</t>
  </si>
  <si>
    <t>Richard Griffin</t>
  </si>
  <si>
    <t>Tina Gonzalez</t>
  </si>
  <si>
    <t>Manuel Becker</t>
  </si>
  <si>
    <t>Jacob Patel</t>
  </si>
  <si>
    <t>Jonathan Wood</t>
  </si>
  <si>
    <t>Jon Duarte</t>
  </si>
  <si>
    <t>Nathan Murphy</t>
  </si>
  <si>
    <t>Kerry Rowe</t>
  </si>
  <si>
    <t>Stephanie Caldwell MD</t>
  </si>
  <si>
    <t>Darrell Mendez</t>
  </si>
  <si>
    <t>Henry Carlson</t>
  </si>
  <si>
    <t>Benjamin Brown</t>
  </si>
  <si>
    <t>Nicholas Vasquez</t>
  </si>
  <si>
    <t>Jennifer Anderson</t>
  </si>
  <si>
    <t>Cheryl Smith</t>
  </si>
  <si>
    <t>Sarah Harper DDS</t>
  </si>
  <si>
    <t>Matthew Moore</t>
  </si>
  <si>
    <t>Erica Riley</t>
  </si>
  <si>
    <t>Katherine Wilson</t>
  </si>
  <si>
    <t>Mitchell Sims</t>
  </si>
  <si>
    <t>Dawn Collins</t>
  </si>
  <si>
    <t>Kathleen Oneal</t>
  </si>
  <si>
    <t>Jacob Andrade</t>
  </si>
  <si>
    <t>Steven Wilson</t>
  </si>
  <si>
    <t>Hannah Herrera</t>
  </si>
  <si>
    <t>Kathy Banks</t>
  </si>
  <si>
    <t>Anna Yoder</t>
  </si>
  <si>
    <t>Barbara Johnston</t>
  </si>
  <si>
    <t>April Hood</t>
  </si>
  <si>
    <t>Patrick Perez</t>
  </si>
  <si>
    <t>Jesse Edwards</t>
  </si>
  <si>
    <t>Ryan Williams</t>
  </si>
  <si>
    <t>Veronica Fry</t>
  </si>
  <si>
    <t>Benjamin Ramirez</t>
  </si>
  <si>
    <t>Matthew Buckley</t>
  </si>
  <si>
    <t>Ryan Collins</t>
  </si>
  <si>
    <t>Christopher Lopez</t>
  </si>
  <si>
    <t>Caleb Kennedy</t>
  </si>
  <si>
    <t>Ronnie Roach</t>
  </si>
  <si>
    <t>Jason Houston</t>
  </si>
  <si>
    <t>Rodney Gonzalez</t>
  </si>
  <si>
    <t>Mrs. Katherine Huber PhD</t>
  </si>
  <si>
    <t>Kathryn Young</t>
  </si>
  <si>
    <t>Savannah Butler</t>
  </si>
  <si>
    <t>James Nguyen</t>
  </si>
  <si>
    <t>Brian Davis</t>
  </si>
  <si>
    <t>Brian Mitchell</t>
  </si>
  <si>
    <t>Kendra Jones</t>
  </si>
  <si>
    <t>Karen Grimes</t>
  </si>
  <si>
    <t>Anthony Medina</t>
  </si>
  <si>
    <t>Richard Walker</t>
  </si>
  <si>
    <t>Desiree Wilkins</t>
  </si>
  <si>
    <t>Jamie Ford</t>
  </si>
  <si>
    <t>Ashley Cunningham</t>
  </si>
  <si>
    <t>Sarah Montgomery</t>
  </si>
  <si>
    <t>Abigail Townsend</t>
  </si>
  <si>
    <t>Allison Salazar</t>
  </si>
  <si>
    <t>William Roberts Jr.</t>
  </si>
  <si>
    <t>Savannah Beltran</t>
  </si>
  <si>
    <t>Christopher Johnson</t>
  </si>
  <si>
    <t>Susan Stanton</t>
  </si>
  <si>
    <t>Roger Holmes</t>
  </si>
  <si>
    <t>Paula Stone</t>
  </si>
  <si>
    <t>Courtney Gonzales</t>
  </si>
  <si>
    <t>Kayla Norris</t>
  </si>
  <si>
    <t>Frank Fields</t>
  </si>
  <si>
    <t>Heather Diaz</t>
  </si>
  <si>
    <t>Darren Douglas</t>
  </si>
  <si>
    <t>Andrew Gordon</t>
  </si>
  <si>
    <t>Jerry Jones</t>
  </si>
  <si>
    <t>Ashley Gomez</t>
  </si>
  <si>
    <t>Sheila Barrett</t>
  </si>
  <si>
    <t>John Wallace</t>
  </si>
  <si>
    <t>Kim Morris</t>
  </si>
  <si>
    <t>Michael Morris</t>
  </si>
  <si>
    <t>Ronald Taylor</t>
  </si>
  <si>
    <t>Vanessa Jackson</t>
  </si>
  <si>
    <t>Mary Manning</t>
  </si>
  <si>
    <t>William Harris</t>
  </si>
  <si>
    <t>Samantha Hoffman</t>
  </si>
  <si>
    <t>Julie Smith</t>
  </si>
  <si>
    <t>Dave Summers</t>
  </si>
  <si>
    <t>Traci Hopkins</t>
  </si>
  <si>
    <t>Christian Guerrero</t>
  </si>
  <si>
    <t>Jennifer Perez</t>
  </si>
  <si>
    <t>Amy Pierce</t>
  </si>
  <si>
    <t>Ian Castillo</t>
  </si>
  <si>
    <t>Dakota Kelly</t>
  </si>
  <si>
    <t>Andre Jones</t>
  </si>
  <si>
    <t>Erin Williams</t>
  </si>
  <si>
    <t>Sean Hernandez</t>
  </si>
  <si>
    <t>Jerry White</t>
  </si>
  <si>
    <t>Steven Scott</t>
  </si>
  <si>
    <t>Joseph Pace</t>
  </si>
  <si>
    <t>Lydia Baker</t>
  </si>
  <si>
    <t>David Rose</t>
  </si>
  <si>
    <t>Dana Ewing</t>
  </si>
  <si>
    <t>James Gibbs</t>
  </si>
  <si>
    <t>Lisa Norris</t>
  </si>
  <si>
    <t>Lori Henderson</t>
  </si>
  <si>
    <t>Terri Stewart</t>
  </si>
  <si>
    <t>Shelly Chavez</t>
  </si>
  <si>
    <t>Megan Morales</t>
  </si>
  <si>
    <t>Rebecca Banks</t>
  </si>
  <si>
    <t>April Randall DDS</t>
  </si>
  <si>
    <t>Ashley Rodriguez</t>
  </si>
  <si>
    <t>Russell Zimmerman</t>
  </si>
  <si>
    <t>Taylor Patterson</t>
  </si>
  <si>
    <t>Ellen Miller</t>
  </si>
  <si>
    <t>Jessica Rodriguez</t>
  </si>
  <si>
    <t>Jeffrey Martin</t>
  </si>
  <si>
    <t>Alexandra Sandoval</t>
  </si>
  <si>
    <t>Rachel Moore</t>
  </si>
  <si>
    <t>Mandy Smith</t>
  </si>
  <si>
    <t>Brian Olson</t>
  </si>
  <si>
    <t>Dr. Christina Dunn</t>
  </si>
  <si>
    <t>Madeline Sharp</t>
  </si>
  <si>
    <t>Megan Williams</t>
  </si>
  <si>
    <t>Melissa Khan</t>
  </si>
  <si>
    <t>Michelle Hill</t>
  </si>
  <si>
    <t>Rachel Sanchez</t>
  </si>
  <si>
    <t>Leon Anderson</t>
  </si>
  <si>
    <t>Mary Chandler</t>
  </si>
  <si>
    <t>Mallory Martin</t>
  </si>
  <si>
    <t>David Whitney</t>
  </si>
  <si>
    <t>Elizabeth Johnson</t>
  </si>
  <si>
    <t>Dr. Mary Day</t>
  </si>
  <si>
    <t>Mr. Paul Chavez</t>
  </si>
  <si>
    <t>Evan Marquez</t>
  </si>
  <si>
    <t>Ian Weaver</t>
  </si>
  <si>
    <t>Audrey Torres</t>
  </si>
  <si>
    <t>Brian Riley</t>
  </si>
  <si>
    <t>Charles Kemp</t>
  </si>
  <si>
    <t>Carly Dixon</t>
  </si>
  <si>
    <t>Gary Murray</t>
  </si>
  <si>
    <t>Pamela Bradshaw</t>
  </si>
  <si>
    <t>Donald Mitchell</t>
  </si>
  <si>
    <t>Christopher Powell</t>
  </si>
  <si>
    <t>Gary Wood</t>
  </si>
  <si>
    <t>Barbara Dalton</t>
  </si>
  <si>
    <t>Rachel Holloway</t>
  </si>
  <si>
    <t>Kenneth Fox</t>
  </si>
  <si>
    <t>Kimberly Sullivan</t>
  </si>
  <si>
    <t>Danielle Ortega</t>
  </si>
  <si>
    <t>Tiffany Lowery</t>
  </si>
  <si>
    <t>Gregory Hines</t>
  </si>
  <si>
    <t>Rebecca Goodwin</t>
  </si>
  <si>
    <t>Scott Walker</t>
  </si>
  <si>
    <t>Brianna Hernandez</t>
  </si>
  <si>
    <t>Teresa Kim</t>
  </si>
  <si>
    <t>Gregory Brown</t>
  </si>
  <si>
    <t>Stacy Clements</t>
  </si>
  <si>
    <t>Cynthia Dunn</t>
  </si>
  <si>
    <t>Beth Stephens</t>
  </si>
  <si>
    <t>Scott Nguyen</t>
  </si>
  <si>
    <t>Michael Heath</t>
  </si>
  <si>
    <t>James Malone</t>
  </si>
  <si>
    <t>Rhonda Oconnor</t>
  </si>
  <si>
    <t>Katie Mcdaniel</t>
  </si>
  <si>
    <t>Aaron Perkins</t>
  </si>
  <si>
    <t>Jonathan Howell</t>
  </si>
  <si>
    <t>Darryl Case</t>
  </si>
  <si>
    <t>Christine Barron</t>
  </si>
  <si>
    <t>Thomas Clark MD</t>
  </si>
  <si>
    <t>Victoria Gilbert</t>
  </si>
  <si>
    <t>April Spears</t>
  </si>
  <si>
    <t>Eugene Underwood</t>
  </si>
  <si>
    <t>Benjamin Williams</t>
  </si>
  <si>
    <t>Jessica Murray</t>
  </si>
  <si>
    <t>James Harris</t>
  </si>
  <si>
    <t>William Villarreal</t>
  </si>
  <si>
    <t>Ronald Davis</t>
  </si>
  <si>
    <t>Monica Jones</t>
  </si>
  <si>
    <t>Cheryl Bailey</t>
  </si>
  <si>
    <t>Cameron Lopez</t>
  </si>
  <si>
    <t>Christopher Williams</t>
  </si>
  <si>
    <t>Daniel Green</t>
  </si>
  <si>
    <t>William Hatfield</t>
  </si>
  <si>
    <t>Kristen Lopez</t>
  </si>
  <si>
    <t>Dawn Bryant</t>
  </si>
  <si>
    <t>Charles Nguyen</t>
  </si>
  <si>
    <t>Bailey Williamson</t>
  </si>
  <si>
    <t>George Singleton</t>
  </si>
  <si>
    <t>Jeffrey Johnston</t>
  </si>
  <si>
    <t>Cynthia Baker</t>
  </si>
  <si>
    <t>Kristin Combs</t>
  </si>
  <si>
    <t>Frank Anderson</t>
  </si>
  <si>
    <t>Alex Rowe</t>
  </si>
  <si>
    <t>Derek Doyle</t>
  </si>
  <si>
    <t>Rebecca Franklin</t>
  </si>
  <si>
    <t>Daniel Love</t>
  </si>
  <si>
    <t>Megan Russell</t>
  </si>
  <si>
    <t>Autumn Hill</t>
  </si>
  <si>
    <t>Sarah Wilson</t>
  </si>
  <si>
    <t>Courtney Foley</t>
  </si>
  <si>
    <t>William Bentley</t>
  </si>
  <si>
    <t>Jacob Mckay</t>
  </si>
  <si>
    <t>Patricia Jackson</t>
  </si>
  <si>
    <t>Jennifer Martin</t>
  </si>
  <si>
    <t>Erin Bates</t>
  </si>
  <si>
    <t>Chelsea Harris</t>
  </si>
  <si>
    <t>Aaron Holder</t>
  </si>
  <si>
    <t>Lauren Ayers</t>
  </si>
  <si>
    <t>Thomas Roman</t>
  </si>
  <si>
    <t>Robert Bass</t>
  </si>
  <si>
    <t>Jack Cooper</t>
  </si>
  <si>
    <t>Christopher Smith</t>
  </si>
  <si>
    <t>Anthony Mccoy</t>
  </si>
  <si>
    <t xml:space="preserve">apppontment_date </t>
  </si>
  <si>
    <t xml:space="preserve">booking_date </t>
  </si>
  <si>
    <t>amount</t>
  </si>
  <si>
    <t>Row Labels</t>
  </si>
  <si>
    <t>Grand Total</t>
  </si>
  <si>
    <t>Column Labels</t>
  </si>
  <si>
    <t>Count of gender</t>
  </si>
  <si>
    <t>Sum of amount</t>
  </si>
  <si>
    <t>Count of patient_id</t>
  </si>
  <si>
    <t>age group</t>
  </si>
  <si>
    <t>Adult</t>
  </si>
  <si>
    <t>Senior</t>
  </si>
  <si>
    <t>Teenager</t>
  </si>
  <si>
    <t>Qtr1</t>
  </si>
  <si>
    <t>Qtr2</t>
  </si>
  <si>
    <t>Qtr3</t>
  </si>
  <si>
    <t>Qtr4</t>
  </si>
  <si>
    <t>Feb</t>
  </si>
  <si>
    <t>Mar</t>
  </si>
  <si>
    <t>Apr</t>
  </si>
  <si>
    <t>May</t>
  </si>
  <si>
    <t>Jun</t>
  </si>
  <si>
    <t>Jul</t>
  </si>
  <si>
    <t>Aug</t>
  </si>
  <si>
    <t>Sep</t>
  </si>
  <si>
    <t>Oct</t>
  </si>
  <si>
    <t>Nov</t>
  </si>
  <si>
    <t>Dec</t>
  </si>
  <si>
    <t>Jan</t>
  </si>
  <si>
    <t>Count of follow_up_required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</si>
</sst>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quot;₹&quot;\ #,##0"/>
  </numFmts>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theme="4" tint="0.39997558519241921"/>
      </top>
      <bottom/>
      <diagonal/>
    </border>
  </borders>
  <cellStyleXfs count="1">
    <xf numFmtId="0" fontId="0" fillId="0" borderId="0"/>
  </cellStyleXfs>
  <cellXfs count="11">
    <xf numFmtId="0" fontId="0" fillId="0" borderId="0" xfId="0"/>
    <xf numFmtId="0" fontId="1" fillId="2" borderId="1" xfId="0" applyFont="1" applyFill="1" applyBorder="1"/>
    <xf numFmtId="0" fontId="0" fillId="0" borderId="1" xfId="0" applyBorder="1"/>
    <xf numFmtId="14" fontId="0" fillId="0" borderId="1" xfId="0" applyNumberFormat="1" applyBorder="1"/>
    <xf numFmtId="0" fontId="0" fillId="0" borderId="0" xfId="0" pivotButton="1"/>
    <xf numFmtId="0" fontId="0" fillId="0" borderId="0" xfId="0" applyAlignment="1">
      <alignment horizontal="left"/>
    </xf>
    <xf numFmtId="164" fontId="0" fillId="0" borderId="1" xfId="0" applyNumberFormat="1" applyBorder="1"/>
    <xf numFmtId="10" fontId="0" fillId="0" borderId="0" xfId="0" applyNumberFormat="1"/>
    <xf numFmtId="165" fontId="0" fillId="0" borderId="0" xfId="0" applyNumberFormat="1"/>
    <xf numFmtId="0" fontId="1" fillId="3" borderId="2" xfId="0" applyFont="1" applyFill="1" applyBorder="1" applyAlignment="1">
      <alignment horizontal="left"/>
    </xf>
    <xf numFmtId="0" fontId="0" fillId="0" borderId="0" xfId="0" applyNumberFormat="1"/>
  </cellXfs>
  <cellStyles count="1">
    <cellStyle name="Normal" xfId="0" builtinId="0"/>
  </cellStyles>
  <dxfs count="48">
    <dxf>
      <numFmt numFmtId="1" formatCode="0"/>
    </dxf>
    <dxf>
      <numFmt numFmtId="1" formatCode="0"/>
    </dxf>
    <dxf>
      <numFmt numFmtId="165" formatCode="&quot;₹&quot;\ #,##0"/>
    </dxf>
    <dxf>
      <numFmt numFmtId="1" formatCode="0"/>
    </dxf>
    <dxf>
      <numFmt numFmtId="1" formatCode="0"/>
    </dxf>
    <dxf>
      <numFmt numFmtId="165" formatCode="&quot;₹&quot;\ #,##0"/>
    </dxf>
    <dxf>
      <numFmt numFmtId="1" formatCode="0"/>
    </dxf>
    <dxf>
      <numFmt numFmtId="1" formatCode="0"/>
    </dxf>
    <dxf>
      <numFmt numFmtId="165" formatCode="&quot;₹&quot;\ #,##0"/>
    </dxf>
    <dxf>
      <numFmt numFmtId="1" formatCode="0"/>
    </dxf>
    <dxf>
      <numFmt numFmtId="1" formatCode="0"/>
    </dxf>
    <dxf>
      <numFmt numFmtId="165" formatCode="&quot;₹&quot;\ #,##0"/>
    </dxf>
    <dxf>
      <numFmt numFmtId="1" formatCode="0"/>
    </dxf>
    <dxf>
      <numFmt numFmtId="1" formatCode="0"/>
    </dxf>
    <dxf>
      <numFmt numFmtId="165" formatCode="&quot;₹&quot;\ #,##0"/>
    </dxf>
    <dxf>
      <numFmt numFmtId="1" formatCode="0"/>
    </dxf>
    <dxf>
      <numFmt numFmtId="1" formatCode="0"/>
    </dxf>
    <dxf>
      <numFmt numFmtId="165" formatCode="&quot;₹&quot;\ #,##0"/>
    </dxf>
    <dxf>
      <numFmt numFmtId="1" formatCode="0"/>
    </dxf>
    <dxf>
      <numFmt numFmtId="1" formatCode="0"/>
    </dxf>
    <dxf>
      <numFmt numFmtId="165" formatCode="&quot;₹&quot;\ #,##0"/>
    </dxf>
    <dxf>
      <numFmt numFmtId="1" formatCode="0"/>
    </dxf>
    <dxf>
      <numFmt numFmtId="1" formatCode="0"/>
    </dxf>
    <dxf>
      <numFmt numFmtId="165" formatCode="&quot;₹&quot;\ #,##0"/>
    </dxf>
    <dxf>
      <numFmt numFmtId="1" formatCode="0"/>
    </dxf>
    <dxf>
      <numFmt numFmtId="1" formatCode="0"/>
    </dxf>
    <dxf>
      <numFmt numFmtId="165" formatCode="&quot;₹&quot;\ #,##0"/>
    </dxf>
    <dxf>
      <numFmt numFmtId="1" formatCode="0"/>
    </dxf>
    <dxf>
      <numFmt numFmtId="1" formatCode="0"/>
    </dxf>
    <dxf>
      <numFmt numFmtId="165" formatCode="&quot;₹&quot;\ #,##0"/>
    </dxf>
    <dxf>
      <numFmt numFmtId="1" formatCode="0"/>
    </dxf>
    <dxf>
      <numFmt numFmtId="1" formatCode="0"/>
    </dxf>
    <dxf>
      <numFmt numFmtId="165" formatCode="&quot;₹&quot;\ #,##0"/>
    </dxf>
    <dxf>
      <numFmt numFmtId="165" formatCode="&quot;₹&quot;\ #,##0"/>
    </dxf>
    <dxf>
      <numFmt numFmtId="1" formatCode="0"/>
    </dxf>
    <dxf>
      <numFmt numFmtId="1" formatCode="0"/>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b/>
        <i val="0"/>
        <sz val="14"/>
        <color theme="4"/>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4"/>
        <color theme="3"/>
        <name val="Aptos Narrow"/>
        <family val="2"/>
        <scheme val="minor"/>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4"/>
        <color theme="4"/>
      </font>
    </dxf>
    <dxf>
      <font>
        <b/>
        <i val="0"/>
        <sz val="11"/>
        <color theme="3"/>
      </font>
    </dxf>
    <dxf>
      <font>
        <b/>
        <i val="0"/>
        <sz val="11"/>
        <color theme="3"/>
      </font>
    </dxf>
    <dxf>
      <font>
        <b/>
        <i val="0"/>
        <sz val="11"/>
        <color theme="4"/>
      </font>
    </dxf>
    <dxf>
      <font>
        <b/>
        <i val="0"/>
        <sz val="11"/>
        <color theme="4" tint="-0.24994659260841701"/>
      </font>
    </dxf>
    <dxf>
      <font>
        <b/>
        <i val="0"/>
        <sz val="11"/>
        <color theme="4"/>
      </font>
    </dxf>
  </dxfs>
  <tableStyles count="14" defaultTableStyle="TableStyleMedium2" defaultPivotStyle="PivotStyleLight16">
    <tableStyle name="department" pivot="0" table="0" count="1" xr9:uid="{39B3A844-B1C8-4597-AFEB-67D04E55B455}">
      <tableStyleElement type="wholeTable" dxfId="47"/>
    </tableStyle>
    <tableStyle name="Slicer Style 1" pivot="0" table="0" count="1" xr9:uid="{11C0753B-D220-4302-9688-F44516E12740}"/>
    <tableStyle name="Slicer Style 10" pivot="0" table="0" count="1" xr9:uid="{5501B6A4-21EF-42EC-B100-5FD5539FD3B7}"/>
    <tableStyle name="Slicer Style 2" pivot="0" table="0" count="1" xr9:uid="{48905357-A7FB-4E0C-BEB5-54DC226BE360}">
      <tableStyleElement type="wholeTable" dxfId="46"/>
    </tableStyle>
    <tableStyle name="Slicer Style 3" pivot="0" table="0" count="1" xr9:uid="{FFCB87A6-FF93-4A34-A767-F010278DBF19}">
      <tableStyleElement type="wholeTable" dxfId="45"/>
    </tableStyle>
    <tableStyle name="Slicer Style 4" pivot="0" table="0" count="1" xr9:uid="{42E55C15-2B04-4C4A-B815-F3F9A9CA6B61}"/>
    <tableStyle name="Slicer Style 5" pivot="0" table="0" count="1" xr9:uid="{63781DAA-6F5C-453A-BFF9-6E7487F0C6FC}">
      <tableStyleElement type="headerRow" dxfId="44"/>
    </tableStyle>
    <tableStyle name="Slicer Style 6" pivot="0" table="0" count="1" xr9:uid="{A180E081-BCE6-4731-A521-E4F09E8083E6}">
      <tableStyleElement type="headerRow" dxfId="43"/>
    </tableStyle>
    <tableStyle name="Slicer Style 7" pivot="0" table="0" count="1" xr9:uid="{5758F491-DDA0-4B58-861F-1FAD58180FDE}"/>
    <tableStyle name="Slicer Style 8" pivot="0" table="0" count="1" xr9:uid="{72174696-4677-4147-A1B5-0EAD4843DC58}"/>
    <tableStyle name="Slicer Style 9" pivot="0" table="0" count="1" xr9:uid="{E65D8100-9D54-4013-B58B-66E80E04ED80}">
      <tableStyleElement type="wholeTable" dxfId="42"/>
    </tableStyle>
    <tableStyle name="Timeline Style 1" pivot="0" table="0" count="8" xr9:uid="{DEAF6CEA-C636-4CDC-94CF-8FAEBD232785}">
      <tableStyleElement type="wholeTable" dxfId="41"/>
      <tableStyleElement type="headerRow" dxfId="40"/>
    </tableStyle>
    <tableStyle name="Timeline Style 2" pivot="0" table="0" count="8" xr9:uid="{01523D83-D88A-4DBF-8910-8A78DCF32C8A}">
      <tableStyleElement type="wholeTable" dxfId="39"/>
      <tableStyleElement type="headerRow" dxfId="38"/>
    </tableStyle>
    <tableStyle name="Timeline Style 3" pivot="0" table="0" count="8" xr9:uid="{26A30EBB-B159-411D-903C-7081EF8784B7}">
      <tableStyleElement type="wholeTable" dxfId="37"/>
      <tableStyleElement type="headerRow" dxfId="36"/>
    </tableStyle>
  </tableStyles>
  <extLst>
    <ext xmlns:x14="http://schemas.microsoft.com/office/spreadsheetml/2009/9/main" uri="{46F421CA-312F-682f-3DD2-61675219B42D}">
      <x14:dxfs count="5">
        <dxf>
          <font>
            <b/>
            <i val="0"/>
            <sz val="12"/>
            <color theme="3"/>
          </font>
        </dxf>
        <dxf>
          <font>
            <b/>
            <i val="0"/>
            <sz val="12"/>
            <color theme="3" tint="-0.24994659260841701"/>
          </font>
        </dxf>
        <dxf>
          <font>
            <b/>
            <i val="0"/>
            <sz val="11"/>
            <color theme="3"/>
          </font>
        </dxf>
        <dxf>
          <font>
            <b/>
            <i val="0"/>
            <sz val="14"/>
          </font>
        </dxf>
        <dxf>
          <font>
            <b/>
            <i val="0"/>
          </font>
        </dxf>
      </x14:dxfs>
    </ext>
    <ext xmlns:x14="http://schemas.microsoft.com/office/spreadsheetml/2009/9/main" uri="{EB79DEF2-80B8-43e5-95BD-54CBDDF9020C}">
      <x14:slicerStyles defaultSlicerStyle="SlicerStyleLight1">
        <x14:slicerStyle name="department"/>
        <x14:slicerStyle name="Slicer Style 1">
          <x14:slicerStyleElements>
            <x14:slicerStyleElement type="selectedItemWithData" dxfId="4"/>
          </x14:slicerStyleElements>
        </x14:slicerStyle>
        <x14:slicerStyle name="Slicer Style 10">
          <x14:slicerStyleElements>
            <x14:slicerStyleElement type="selectedItemWithData" dxfId="3"/>
          </x14:slicerStyleElements>
        </x14:slicerStyle>
        <x14:slicerStyle name="Slicer Style 2"/>
        <x14:slicerStyle name="Slicer Style 3"/>
        <x14:slicerStyle name="Slicer Style 4">
          <x14:slicerStyleElements>
            <x14:slicerStyleElement type="selectedItemWithData" dxfId="2"/>
          </x14:slicerStyleElements>
        </x14:slicerStyle>
        <x14:slicerStyle name="Slicer Style 5"/>
        <x14:slicerStyle name="Slicer Style 6"/>
        <x14:slicerStyle name="Slicer Style 7">
          <x14:slicerStyleElements>
            <x14:slicerStyleElement type="selectedItemWithData" dxfId="1"/>
          </x14:slicerStyleElements>
        </x14:slicerStyle>
        <x14:slicerStyle name="Slicer Style 8">
          <x14:slicerStyleElements>
            <x14:slicerStyleElement type="selectedItemWithData" dxfId="0"/>
          </x14:slicerStyleElements>
        </x14:slicerStyle>
        <x14:slicerStyle name="Slicer Style 9"/>
      </x14:slicerStyles>
    </ext>
    <ext xmlns:x15="http://schemas.microsoft.com/office/spreadsheetml/2010/11/main" uri="{A0A4C193-F2C1-4fcb-8827-314CF55A85BB}">
      <x15:dxfs count="18">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b/>
            <i val="0"/>
            <sz val="9"/>
            <color theme="1" tint="0.499984740745262"/>
            <name val="Aptos Narrow"/>
            <family val="2"/>
            <scheme val="minor"/>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7"/>
            <x15:timelineStyleElement type="timeLevel" dxfId="16"/>
            <x15:timelineStyleElement type="periodLabel1" dxfId="15"/>
            <x15:timelineStyleElement type="periodLabel2" dxfId="14"/>
            <x15:timelineStyleElement type="selectedTimeBlock" dxfId="13"/>
            <x15:timelineStyleElement type="unselectedTimeBlock" dxfId="12"/>
          </x15:timelineStyleElements>
        </x15:timelineStyle>
        <x15:timelineStyle name="Timeline Style 2">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3">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[task2 Exploratory Data Analysis.xlsx]Sheet3!PivotTable2</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Billing</a:t>
            </a:r>
            <a:r>
              <a:rPr lang="en-IN" baseline="0"/>
              <a:t> Anmount Month wise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Sheet3!$B$1</c:f>
              <c:strCache>
                <c:ptCount val="1"/>
                <c:pt idx="0">
                  <c:v>Total</c:v>
                </c:pt>
              </c:strCache>
            </c:strRef>
          </c:tx>
          <c:spPr>
            <a:solidFill>
              <a:schemeClr val="accent1"/>
            </a:solidFill>
            <a:ln>
              <a:noFill/>
            </a:ln>
            <a:effectLst/>
          </c:spPr>
          <c:invertIfNegative val="0"/>
          <c:cat>
            <c:strRef>
              <c:f>Sheet3!$A$2:$A$6</c:f>
              <c:strCache>
                <c:ptCount val="4"/>
                <c:pt idx="0">
                  <c:v>Qtr1</c:v>
                </c:pt>
                <c:pt idx="1">
                  <c:v>Qtr2</c:v>
                </c:pt>
                <c:pt idx="2">
                  <c:v>Qtr3</c:v>
                </c:pt>
                <c:pt idx="3">
                  <c:v>Qtr4</c:v>
                </c:pt>
              </c:strCache>
            </c:strRef>
          </c:cat>
          <c:val>
            <c:numRef>
              <c:f>Sheet3!$B$2:$B$6</c:f>
              <c:numCache>
                <c:formatCode>"₹"\ #,##0</c:formatCode>
                <c:ptCount val="4"/>
                <c:pt idx="0">
                  <c:v>1748196.8300000003</c:v>
                </c:pt>
                <c:pt idx="1">
                  <c:v>1327933.4300000004</c:v>
                </c:pt>
                <c:pt idx="2">
                  <c:v>1443147.5100000002</c:v>
                </c:pt>
                <c:pt idx="3">
                  <c:v>1497008.0100000005</c:v>
                </c:pt>
              </c:numCache>
            </c:numRef>
          </c:val>
          <c:extLst>
            <c:ext xmlns:c16="http://schemas.microsoft.com/office/drawing/2014/chart" uri="{C3380CC4-5D6E-409C-BE32-E72D297353CC}">
              <c16:uniqueId val="{00000000-5B4A-40AC-8D6A-01C46E4168BB}"/>
            </c:ext>
          </c:extLst>
        </c:ser>
        <c:dLbls>
          <c:showLegendKey val="0"/>
          <c:showVal val="0"/>
          <c:showCatName val="0"/>
          <c:showSerName val="0"/>
          <c:showPercent val="0"/>
          <c:showBubbleSize val="0"/>
        </c:dLbls>
        <c:gapWidth val="150"/>
        <c:overlap val="100"/>
        <c:axId val="1628372256"/>
        <c:axId val="1462583040"/>
      </c:barChart>
      <c:catAx>
        <c:axId val="162837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583040"/>
        <c:crosses val="autoZero"/>
        <c:auto val="1"/>
        <c:lblAlgn val="ctr"/>
        <c:lblOffset val="100"/>
        <c:noMultiLvlLbl val="0"/>
      </c:catAx>
      <c:valAx>
        <c:axId val="1462583040"/>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8372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[task2 Exploratory Data Analysis.xlsx]Sheet3!PivotTable2</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Sheet3!$A$2:$A$6</c:f>
              <c:strCache>
                <c:ptCount val="4"/>
                <c:pt idx="0">
                  <c:v>Qtr1</c:v>
                </c:pt>
                <c:pt idx="1">
                  <c:v>Qtr2</c:v>
                </c:pt>
                <c:pt idx="2">
                  <c:v>Qtr3</c:v>
                </c:pt>
                <c:pt idx="3">
                  <c:v>Qtr4</c:v>
                </c:pt>
              </c:strCache>
            </c:strRef>
          </c:cat>
          <c:val>
            <c:numRef>
              <c:f>Sheet3!$B$2:$B$6</c:f>
              <c:numCache>
                <c:formatCode>"₹"\ #,##0</c:formatCode>
                <c:ptCount val="4"/>
                <c:pt idx="0">
                  <c:v>1748196.8300000003</c:v>
                </c:pt>
                <c:pt idx="1">
                  <c:v>1327933.4300000004</c:v>
                </c:pt>
                <c:pt idx="2">
                  <c:v>1443147.5100000002</c:v>
                </c:pt>
                <c:pt idx="3">
                  <c:v>1497008.0100000005</c:v>
                </c:pt>
              </c:numCache>
            </c:numRef>
          </c:val>
          <c:extLst>
            <c:ext xmlns:c16="http://schemas.microsoft.com/office/drawing/2014/chart" uri="{C3380CC4-5D6E-409C-BE32-E72D297353CC}">
              <c16:uniqueId val="{00000000-00FC-462E-B2D8-F1842C35CC98}"/>
            </c:ext>
          </c:extLst>
        </c:ser>
        <c:dLbls>
          <c:showLegendKey val="0"/>
          <c:showVal val="0"/>
          <c:showCatName val="0"/>
          <c:showSerName val="0"/>
          <c:showPercent val="0"/>
          <c:showBubbleSize val="0"/>
        </c:dLbls>
        <c:gapWidth val="182"/>
        <c:axId val="2012046864"/>
        <c:axId val="1977521408"/>
      </c:barChart>
      <c:catAx>
        <c:axId val="2012046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521408"/>
        <c:crosses val="autoZero"/>
        <c:auto val="1"/>
        <c:lblAlgn val="ctr"/>
        <c:lblOffset val="100"/>
        <c:noMultiLvlLbl val="0"/>
      </c:catAx>
      <c:valAx>
        <c:axId val="1977521408"/>
        <c:scaling>
          <c:orientation val="minMax"/>
        </c:scaling>
        <c:delete val="1"/>
        <c:axPos val="b"/>
        <c:numFmt formatCode="&quot;₹&quot;\ #,##0" sourceLinked="1"/>
        <c:majorTickMark val="none"/>
        <c:minorTickMark val="none"/>
        <c:tickLblPos val="nextTo"/>
        <c:crossAx val="2012046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[task2 Exploratory Data Analysis.xlsx]Sheet6!PivotTable1</c:name>
    <c:fmtId val="14"/>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Sheet6!$B$1:$B$2</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Sheet6!$A$3:$A$5</c:f>
              <c:strCache>
                <c:ptCount val="3"/>
                <c:pt idx="0">
                  <c:v>Adult</c:v>
                </c:pt>
                <c:pt idx="1">
                  <c:v>Senior</c:v>
                </c:pt>
                <c:pt idx="2">
                  <c:v>Teenager</c:v>
                </c:pt>
              </c:strCache>
            </c:strRef>
          </c:cat>
          <c:val>
            <c:numRef>
              <c:f>Sheet6!$B$3:$B$5</c:f>
              <c:numCache>
                <c:formatCode>0.00%</c:formatCode>
                <c:ptCount val="3"/>
                <c:pt idx="0">
                  <c:v>0.27311827956989249</c:v>
                </c:pt>
                <c:pt idx="1">
                  <c:v>0.23010752688172043</c:v>
                </c:pt>
                <c:pt idx="2">
                  <c:v>2.5806451612903226E-2</c:v>
                </c:pt>
              </c:numCache>
            </c:numRef>
          </c:val>
          <c:extLst>
            <c:ext xmlns:c16="http://schemas.microsoft.com/office/drawing/2014/chart" uri="{C3380CC4-5D6E-409C-BE32-E72D297353CC}">
              <c16:uniqueId val="{00000002-F791-4EC8-9415-280820B175EB}"/>
            </c:ext>
          </c:extLst>
        </c:ser>
        <c:ser>
          <c:idx val="1"/>
          <c:order val="1"/>
          <c:tx>
            <c:strRef>
              <c:f>Sheet6!$C$1:$C$2</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Sheet6!$A$3:$A$5</c:f>
              <c:strCache>
                <c:ptCount val="3"/>
                <c:pt idx="0">
                  <c:v>Adult</c:v>
                </c:pt>
                <c:pt idx="1">
                  <c:v>Senior</c:v>
                </c:pt>
                <c:pt idx="2">
                  <c:v>Teenager</c:v>
                </c:pt>
              </c:strCache>
            </c:strRef>
          </c:cat>
          <c:val>
            <c:numRef>
              <c:f>Sheet6!$C$3:$C$5</c:f>
              <c:numCache>
                <c:formatCode>0.00%</c:formatCode>
                <c:ptCount val="3"/>
                <c:pt idx="0">
                  <c:v>0.21720430107526881</c:v>
                </c:pt>
                <c:pt idx="1">
                  <c:v>0.22580645161290322</c:v>
                </c:pt>
                <c:pt idx="2">
                  <c:v>2.7956989247311829E-2</c:v>
                </c:pt>
              </c:numCache>
            </c:numRef>
          </c:val>
          <c:extLst>
            <c:ext xmlns:c16="http://schemas.microsoft.com/office/drawing/2014/chart" uri="{C3380CC4-5D6E-409C-BE32-E72D297353CC}">
              <c16:uniqueId val="{00000003-F791-4EC8-9415-280820B175EB}"/>
            </c:ext>
          </c:extLst>
        </c:ser>
        <c:dLbls>
          <c:showLegendKey val="0"/>
          <c:showVal val="0"/>
          <c:showCatName val="0"/>
          <c:showSerName val="0"/>
          <c:showPercent val="0"/>
          <c:showBubbleSize val="0"/>
        </c:dLbls>
        <c:gapWidth val="219"/>
        <c:overlap val="-27"/>
        <c:axId val="1866749968"/>
        <c:axId val="1796852832"/>
      </c:barChart>
      <c:catAx>
        <c:axId val="1866749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852832"/>
        <c:crosses val="autoZero"/>
        <c:auto val="1"/>
        <c:lblAlgn val="ctr"/>
        <c:lblOffset val="100"/>
        <c:noMultiLvlLbl val="0"/>
      </c:catAx>
      <c:valAx>
        <c:axId val="179685283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6749968"/>
        <c:crosses val="autoZero"/>
        <c:crossBetween val="between"/>
      </c:valAx>
    </c:plotArea>
    <c:legend>
      <c:legendPos val="r"/>
      <c:layout>
        <c:manualLayout>
          <c:xMode val="edge"/>
          <c:yMode val="edge"/>
          <c:x val="0.77187995353039884"/>
          <c:y val="5.1504082822980482E-2"/>
          <c:w val="0.15098090132350478"/>
          <c:h val="0.1573437586036011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[task2 Exploratory Data Analysis.xlsx]Sheet3!PivotTable2</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1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45673662186265"/>
          <c:y val="6.0300275516577399E-2"/>
          <c:w val="0.85957874314820737"/>
          <c:h val="0.87939944896684519"/>
        </c:manualLayout>
      </c:layout>
      <c:barChart>
        <c:barDir val="bar"/>
        <c:grouping val="clustered"/>
        <c:varyColors val="0"/>
        <c:ser>
          <c:idx val="0"/>
          <c:order val="0"/>
          <c:tx>
            <c:strRef>
              <c:f>Sheet3!$B$1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1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Sheet3!$A$2:$A$6</c:f>
              <c:strCache>
                <c:ptCount val="4"/>
                <c:pt idx="0">
                  <c:v>Qtr1</c:v>
                </c:pt>
                <c:pt idx="1">
                  <c:v>Qtr2</c:v>
                </c:pt>
                <c:pt idx="2">
                  <c:v>Qtr3</c:v>
                </c:pt>
                <c:pt idx="3">
                  <c:v>Qtr4</c:v>
                </c:pt>
              </c:strCache>
            </c:strRef>
          </c:cat>
          <c:val>
            <c:numRef>
              <c:f>Sheet3!$B$2:$B$6</c:f>
              <c:numCache>
                <c:formatCode>"₹"\ #,##0</c:formatCode>
                <c:ptCount val="4"/>
                <c:pt idx="0">
                  <c:v>1748196.8300000003</c:v>
                </c:pt>
                <c:pt idx="1">
                  <c:v>1327933.4300000004</c:v>
                </c:pt>
                <c:pt idx="2">
                  <c:v>1443147.5100000002</c:v>
                </c:pt>
                <c:pt idx="3">
                  <c:v>1497008.0100000005</c:v>
                </c:pt>
              </c:numCache>
            </c:numRef>
          </c:val>
          <c:extLst>
            <c:ext xmlns:c16="http://schemas.microsoft.com/office/drawing/2014/chart" uri="{C3380CC4-5D6E-409C-BE32-E72D297353CC}">
              <c16:uniqueId val="{00000002-F28E-494B-84A1-563E8351A676}"/>
            </c:ext>
          </c:extLst>
        </c:ser>
        <c:dLbls>
          <c:showLegendKey val="0"/>
          <c:showVal val="0"/>
          <c:showCatName val="0"/>
          <c:showSerName val="0"/>
          <c:showPercent val="0"/>
          <c:showBubbleSize val="0"/>
        </c:dLbls>
        <c:gapWidth val="182"/>
        <c:axId val="2012046864"/>
        <c:axId val="1977521408"/>
      </c:barChart>
      <c:catAx>
        <c:axId val="2012046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40" b="1" i="0" u="none" strike="noStrike" kern="1200" baseline="0">
                <a:solidFill>
                  <a:srgbClr val="002060"/>
                </a:solidFill>
                <a:latin typeface="+mn-lt"/>
                <a:ea typeface="+mn-ea"/>
                <a:cs typeface="+mn-cs"/>
              </a:defRPr>
            </a:pPr>
            <a:endParaRPr lang="en-US"/>
          </a:p>
        </c:txPr>
        <c:crossAx val="1977521408"/>
        <c:crosses val="autoZero"/>
        <c:auto val="1"/>
        <c:lblAlgn val="ctr"/>
        <c:lblOffset val="100"/>
        <c:noMultiLvlLbl val="0"/>
      </c:catAx>
      <c:valAx>
        <c:axId val="1977521408"/>
        <c:scaling>
          <c:orientation val="minMax"/>
        </c:scaling>
        <c:delete val="1"/>
        <c:axPos val="b"/>
        <c:numFmt formatCode="&quot;₹&quot;\ #,##0" sourceLinked="1"/>
        <c:majorTickMark val="none"/>
        <c:minorTickMark val="none"/>
        <c:tickLblPos val="nextTo"/>
        <c:crossAx val="2012046864"/>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[task2 Exploratory Data Analysis.xlsx]Sheet6!PivotTable1</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a:solidFill>
                  <a:schemeClr val="tx1"/>
                </a:solidFill>
              </a:rPr>
              <a:t>Patients:Male</a:t>
            </a:r>
            <a:r>
              <a:rPr lang="en-IN" sz="2000" b="1" baseline="0">
                <a:solidFill>
                  <a:schemeClr val="tx1"/>
                </a:solidFill>
              </a:rPr>
              <a:t> Vs Female</a:t>
            </a:r>
            <a:endParaRPr lang="en-IN" sz="2000" b="1">
              <a:solidFill>
                <a:schemeClr val="tx1"/>
              </a:solidFill>
            </a:endParaRPr>
          </a:p>
        </c:rich>
      </c:tx>
      <c:layout>
        <c:manualLayout>
          <c:xMode val="edge"/>
          <c:yMode val="edge"/>
          <c:x val="0.51935255143853198"/>
          <c:y val="6.73960030919663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1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1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08313878999118E-2"/>
          <c:y val="0.10536472705036246"/>
          <c:w val="0.92135739076915835"/>
          <c:h val="0.80536576046349573"/>
        </c:manualLayout>
      </c:layout>
      <c:barChart>
        <c:barDir val="col"/>
        <c:grouping val="clustered"/>
        <c:varyColors val="0"/>
        <c:ser>
          <c:idx val="0"/>
          <c:order val="0"/>
          <c:tx>
            <c:strRef>
              <c:f>Sheet6!$B$1:$B$2</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1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Sheet6!$A$3:$A$5</c:f>
              <c:strCache>
                <c:ptCount val="3"/>
                <c:pt idx="0">
                  <c:v>Adult</c:v>
                </c:pt>
                <c:pt idx="1">
                  <c:v>Senior</c:v>
                </c:pt>
                <c:pt idx="2">
                  <c:v>Teenager</c:v>
                </c:pt>
              </c:strCache>
            </c:strRef>
          </c:cat>
          <c:val>
            <c:numRef>
              <c:f>Sheet6!$B$3:$B$5</c:f>
              <c:numCache>
                <c:formatCode>0.00%</c:formatCode>
                <c:ptCount val="3"/>
                <c:pt idx="0">
                  <c:v>0.27311827956989249</c:v>
                </c:pt>
                <c:pt idx="1">
                  <c:v>0.23010752688172043</c:v>
                </c:pt>
                <c:pt idx="2">
                  <c:v>2.5806451612903226E-2</c:v>
                </c:pt>
              </c:numCache>
            </c:numRef>
          </c:val>
          <c:extLst>
            <c:ext xmlns:c16="http://schemas.microsoft.com/office/drawing/2014/chart" uri="{C3380CC4-5D6E-409C-BE32-E72D297353CC}">
              <c16:uniqueId val="{00000003-56AC-481F-8D9A-80FE72E24A7B}"/>
            </c:ext>
          </c:extLst>
        </c:ser>
        <c:ser>
          <c:idx val="1"/>
          <c:order val="1"/>
          <c:tx>
            <c:strRef>
              <c:f>Sheet6!$C$1:$C$2</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1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Sheet6!$A$3:$A$5</c:f>
              <c:strCache>
                <c:ptCount val="3"/>
                <c:pt idx="0">
                  <c:v>Adult</c:v>
                </c:pt>
                <c:pt idx="1">
                  <c:v>Senior</c:v>
                </c:pt>
                <c:pt idx="2">
                  <c:v>Teenager</c:v>
                </c:pt>
              </c:strCache>
            </c:strRef>
          </c:cat>
          <c:val>
            <c:numRef>
              <c:f>Sheet6!$C$3:$C$5</c:f>
              <c:numCache>
                <c:formatCode>0.00%</c:formatCode>
                <c:ptCount val="3"/>
                <c:pt idx="0">
                  <c:v>0.21720430107526881</c:v>
                </c:pt>
                <c:pt idx="1">
                  <c:v>0.22580645161290322</c:v>
                </c:pt>
                <c:pt idx="2">
                  <c:v>2.7956989247311829E-2</c:v>
                </c:pt>
              </c:numCache>
            </c:numRef>
          </c:val>
          <c:extLst>
            <c:ext xmlns:c16="http://schemas.microsoft.com/office/drawing/2014/chart" uri="{C3380CC4-5D6E-409C-BE32-E72D297353CC}">
              <c16:uniqueId val="{00000004-56AC-481F-8D9A-80FE72E24A7B}"/>
            </c:ext>
          </c:extLst>
        </c:ser>
        <c:dLbls>
          <c:showLegendKey val="0"/>
          <c:showVal val="0"/>
          <c:showCatName val="0"/>
          <c:showSerName val="0"/>
          <c:showPercent val="0"/>
          <c:showBubbleSize val="0"/>
        </c:dLbls>
        <c:gapWidth val="219"/>
        <c:overlap val="-27"/>
        <c:axId val="1866749968"/>
        <c:axId val="1796852832"/>
      </c:barChart>
      <c:catAx>
        <c:axId val="1866749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60" b="1" i="0" u="none" strike="noStrike" kern="1200" baseline="0">
                <a:solidFill>
                  <a:schemeClr val="tx1">
                    <a:lumMod val="65000"/>
                    <a:lumOff val="35000"/>
                  </a:schemeClr>
                </a:solidFill>
                <a:latin typeface="+mn-lt"/>
                <a:ea typeface="+mn-ea"/>
                <a:cs typeface="+mn-cs"/>
              </a:defRPr>
            </a:pPr>
            <a:endParaRPr lang="en-US"/>
          </a:p>
        </c:txPr>
        <c:crossAx val="1796852832"/>
        <c:crosses val="autoZero"/>
        <c:auto val="1"/>
        <c:lblAlgn val="ctr"/>
        <c:lblOffset val="100"/>
        <c:noMultiLvlLbl val="0"/>
      </c:catAx>
      <c:valAx>
        <c:axId val="1796852832"/>
        <c:scaling>
          <c:orientation val="minMax"/>
        </c:scaling>
        <c:delete val="1"/>
        <c:axPos val="l"/>
        <c:numFmt formatCode="0.00%" sourceLinked="1"/>
        <c:majorTickMark val="none"/>
        <c:minorTickMark val="none"/>
        <c:tickLblPos val="nextTo"/>
        <c:crossAx val="1866749968"/>
        <c:crosses val="autoZero"/>
        <c:crossBetween val="between"/>
      </c:valAx>
      <c:spPr>
        <a:noFill/>
        <a:ln w="25400">
          <a:noFill/>
        </a:ln>
        <a:effectLst/>
      </c:spPr>
    </c:plotArea>
    <c:legend>
      <c:legendPos val="r"/>
      <c:layout>
        <c:manualLayout>
          <c:xMode val="edge"/>
          <c:yMode val="edge"/>
          <c:x val="0.86880371350546137"/>
          <c:y val="0.51388873844820715"/>
          <c:w val="0.11424848527362268"/>
          <c:h val="0.15894932680865362"/>
        </c:manualLayout>
      </c:layout>
      <c:overlay val="0"/>
      <c:spPr>
        <a:noFill/>
        <a:ln>
          <a:noFill/>
        </a:ln>
        <a:effectLst/>
      </c:spPr>
      <c:txPr>
        <a:bodyPr rot="0" spcFirstLastPara="1" vertOverflow="ellipsis" vert="horz" wrap="square" anchor="ctr" anchorCtr="1"/>
        <a:lstStyle/>
        <a:p>
          <a:pPr>
            <a:defRPr sz="111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plotArea>
      <cx:plotAreaRegion>
        <cx:series layoutId="waterfall" uniqueId="{00000000-FBF0-4B3F-9E79-9D820E3FC053}">
          <cx:dataLabels pos="outEnd">
            <cx:visibility seriesName="0" categoryName="0" value="1"/>
          </cx:dataLabels>
          <cx:dataId val="0"/>
          <cx:layoutPr>
            <cx:subtotals>
              <cx:idx val="4"/>
            </cx:subtotals>
          </cx:layoutPr>
        </cx:series>
      </cx:plotAreaRegion>
      <cx:axis id="0">
        <cx:catScaling gapWidth="0.5"/>
        <cx:tickLabels/>
      </cx:axis>
      <cx:axis id="1" hidden="1">
        <cx:valScaling/>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rich>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Aptos Narrow" panose="02110004020202020204"/>
              </a:rPr>
              <a:t>Department wise patient </a:t>
            </a:r>
            <a:endParaRPr lang="en-GB" sz="1400" b="1" i="0" u="none" strike="noStrike" baseline="0">
              <a:solidFill>
                <a:sysClr val="windowText" lastClr="000000">
                  <a:lumMod val="65000"/>
                  <a:lumOff val="35000"/>
                </a:sysClr>
              </a:solidFill>
              <a:latin typeface="Aptos Narrow" panose="02110004020202020204"/>
            </a:endParaRPr>
          </a:p>
        </cx:rich>
      </cx:tx>
      <cx:extLst>
        <cx:ext uri="ext:featex">
          <cx:featureExtension feature="mp" drop="onModelChange">
            <cx:offset top="-0.0625" left="-0.2986111044883728"/>
          </cx:featureExtension>
        </cx:ext>
      </cx:extLst>
    </cx:title>
    <cx:plotArea>
      <cx:plotAreaRegion>
        <cx:series layoutId="treemap" uniqueId="{00000000-24AC-49A8-804E-7076506679B4}">
          <cx:dataLabels pos="inEnd">
            <cx:visibility seriesName="0" categoryName="1" value="0"/>
            <cx:dataLabel idx="0">
              <cx:visibility seriesName="0" categoryName="1" value="1"/>
              <cx:separator>, </cx:separator>
            </cx:dataLabel>
          </cx:dataLabels>
          <cx:dataId val="0"/>
          <cx:layoutPr>
            <cx:parentLabelLayout val="overlapping"/>
          </cx:layoutPr>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val">
        <cx:f>_xlchart.v1.7</cx:f>
      </cx:numDim>
    </cx:data>
  </cx:chartData>
  <cx:chart>
    <cx:plotArea>
      <cx:plotAreaRegion>
        <cx:series layoutId="waterfall" uniqueId="{00000000-FBF0-4B3F-9E79-9D820E3FC053}">
          <cx:dataLabels pos="outEnd">
            <cx:txPr>
              <a:bodyPr spcFirstLastPara="1" vertOverflow="ellipsis" horzOverflow="overflow" wrap="square" lIns="0" tIns="0" rIns="0" bIns="0" anchor="ctr" anchorCtr="1"/>
              <a:lstStyle/>
              <a:p>
                <a:pPr algn="ctr" rtl="0">
                  <a:defRPr sz="1240" b="1" i="0" baseline="0">
                    <a:solidFill>
                      <a:srgbClr val="002060"/>
                    </a:solidFill>
                  </a:defRPr>
                </a:pPr>
                <a:endParaRPr lang="en-GB" sz="1240" b="1" i="0" u="none" strike="noStrike" baseline="0">
                  <a:solidFill>
                    <a:srgbClr val="002060"/>
                  </a:solidFill>
                  <a:latin typeface="Aptos Narrow" panose="02110004020202020204"/>
                </a:endParaRPr>
              </a:p>
            </cx:txPr>
            <cx:visibility seriesName="0" categoryName="0" value="1"/>
            <cx:dataLabel idx="3">
              <cx:txPr>
                <a:bodyPr spcFirstLastPara="1" vertOverflow="ellipsis" horzOverflow="overflow" wrap="square" lIns="0" tIns="0" rIns="0" bIns="0" anchor="ctr" anchorCtr="1"/>
                <a:lstStyle/>
                <a:p>
                  <a:pPr algn="ctr" rtl="0">
                    <a:defRPr sz="1160" baseline="0"/>
                  </a:pPr>
                  <a:r>
                    <a:rPr lang="en-GB" sz="1160" b="1" i="0" u="none" strike="noStrike" baseline="0">
                      <a:solidFill>
                        <a:srgbClr val="002060"/>
                      </a:solidFill>
                      <a:latin typeface="Aptos Narrow" panose="02110004020202020204"/>
                    </a:rPr>
                    <a:t>₹ 16,60,108</a:t>
                  </a:r>
                </a:p>
              </cx:txPr>
            </cx:dataLabel>
          </cx:dataLabels>
          <cx:dataId val="0"/>
          <cx:layoutPr>
            <cx:subtotals>
              <cx:idx val="4"/>
            </cx:subtotals>
          </cx:layoutPr>
        </cx:series>
      </cx:plotAreaRegion>
      <cx:axis id="0">
        <cx:catScaling gapWidth="0.5"/>
        <cx:tickLabels/>
        <cx:txPr>
          <a:bodyPr spcFirstLastPara="1" vertOverflow="ellipsis" horzOverflow="overflow" wrap="square" lIns="0" tIns="0" rIns="0" bIns="0" anchor="ctr" anchorCtr="1"/>
          <a:lstStyle/>
          <a:p>
            <a:pPr algn="ctr" rtl="0">
              <a:defRPr sz="1220" b="1" i="0" baseline="0">
                <a:solidFill>
                  <a:srgbClr val="002060"/>
                </a:solidFill>
              </a:defRPr>
            </a:pPr>
            <a:endParaRPr lang="en-GB" sz="1220" b="1" i="0" u="none" strike="noStrike" baseline="0">
              <a:solidFill>
                <a:srgbClr val="002060"/>
              </a:solidFill>
              <a:latin typeface="Aptos Narrow" panose="02110004020202020204"/>
            </a:endParaRPr>
          </a:p>
        </cx:txPr>
      </cx:axis>
      <cx:axis id="1" hidden="1">
        <cx:valScaling/>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title pos="t" align="ctr" overlay="0">
      <cx:tx>
        <cx:rich>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65000"/>
                    <a:lumOff val="35000"/>
                  </a:sysClr>
                </a:solidFill>
                <a:latin typeface="Aptos Narrow" panose="02110004020202020204"/>
              </a:rPr>
              <a:t>Department wise patient </a:t>
            </a:r>
            <a:endParaRPr lang="en-GB" sz="1800" b="1" i="0" u="none" strike="noStrike" baseline="0">
              <a:solidFill>
                <a:sysClr val="windowText" lastClr="000000">
                  <a:lumMod val="65000"/>
                  <a:lumOff val="35000"/>
                </a:sysClr>
              </a:solidFill>
              <a:latin typeface="Aptos Narrow" panose="02110004020202020204"/>
            </a:endParaRPr>
          </a:p>
        </cx:rich>
      </cx:tx>
      <cx:extLst>
        <cx:ext uri="ext:featex">
          <cx:featureExtension feature="mp" drop="onModelChange">
            <cx:offset top="-0.019763780757784843" left="-0.12767058610916138"/>
          </cx:featureExtension>
        </cx:ext>
      </cx:extLst>
    </cx:title>
    <cx:plotArea>
      <cx:plotAreaRegion>
        <cx:series layoutId="treemap" uniqueId="{00000000-24AC-49A8-804E-7076506679B4}">
          <cx:dataLabels pos="inEnd">
            <cx:txPr>
              <a:bodyPr spcFirstLastPara="1" vertOverflow="ellipsis" horzOverflow="overflow" wrap="square" lIns="0" tIns="0" rIns="0" bIns="0" anchor="ctr" anchorCtr="1"/>
              <a:lstStyle/>
              <a:p>
                <a:pPr algn="ctr" rtl="0">
                  <a:defRPr sz="1150" b="1" baseline="0">
                    <a:solidFill>
                      <a:schemeClr val="bg1"/>
                    </a:solidFill>
                  </a:defRPr>
                </a:pPr>
                <a:endParaRPr lang="en-GB" sz="1150" b="1" i="0" u="none" strike="noStrike" baseline="0">
                  <a:solidFill>
                    <a:schemeClr val="bg1"/>
                  </a:solidFill>
                  <a:latin typeface="Aptos Narrow" panose="02110004020202020204"/>
                </a:endParaRPr>
              </a:p>
            </cx:txPr>
            <cx:visibility seriesName="0" categoryName="1" value="1"/>
            <cx:separator>, </cx:separator>
            <cx:dataLabel idx="0">
              <cx:visibility seriesName="0" categoryName="1" value="1"/>
              <cx:separator>, </cx:separator>
            </cx:dataLabel>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14">
  <cs:axisTitle>
    <cs:lnRef idx="0"/>
    <cs:fillRef idx="0"/>
    <cs:effectRef idx="0"/>
    <cs:fontRef idx="major">
      <a:schemeClr val="dk1">
        <a:lumMod val="50000"/>
        <a:lumOff val="50000"/>
      </a:schemeClr>
    </cs:fontRef>
    <cs:spPr>
      <a:solidFill>
        <a:schemeClr val="bg1">
          <a:lumMod val="85000"/>
        </a:schemeClr>
      </a:solidFill>
      <a:ln w="19050">
        <a:solidFill>
          <a:schemeClr val="bg1"/>
        </a:solidFill>
      </a:ln>
    </cs:spPr>
    <cs:defRPr sz="900"/>
  </cs:axisTitle>
  <cs:categoryAxis>
    <cs:lnRef idx="0"/>
    <cs:fillRef idx="0"/>
    <cs:effectRef idx="0"/>
    <cs:fontRef idx="major">
      <a:schemeClr val="dk1">
        <a:lumMod val="50000"/>
        <a:lumOff val="50000"/>
      </a:schemeClr>
    </cs:fontRef>
    <cs:defRPr sz="90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cs:chartArea>
  <cs:dataLabel>
    <cs:lnRef idx="0"/>
    <cs:fillRef idx="0"/>
    <cs:effectRef idx="0"/>
    <cs:fontRef idx="minor">
      <a:schemeClr val="dk1">
        <a:lumMod val="75000"/>
        <a:lumOff val="25000"/>
      </a:schemeClr>
    </cs:fontRef>
    <cs:defRPr sz="900"/>
    <cs:bodyPr lIns="38100" tIns="19050" rIns="38100" bIns="19050">
      <a:spAutoFit/>
    </cs:bodyPr>
  </cs:dataLabel>
  <cs:dataLabelCallout>
    <cs:lnRef idx="0"/>
    <cs:fillRef idx="0"/>
    <cs:effectRef idx="0"/>
    <cs:fontRef idx="major">
      <a:schemeClr val="dk1">
        <a:lumMod val="50000"/>
        <a:lumOff val="50000"/>
      </a:schemeClr>
    </cs:fontRef>
    <cs:spPr>
      <a:solidFill>
        <a:schemeClr val="lt1">
          <a:alpha val="75000"/>
        </a:schemeClr>
      </a:solidFill>
      <a:ln w="9525">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9525">
        <a:solidFill>
          <a:schemeClr val="lt1"/>
        </a:solidFill>
      </a:ln>
    </cs:spPr>
  </cs:dataPoint>
  <cs:dataPoint3D>
    <cs:lnRef idx="0"/>
    <cs:fillRef idx="0">
      <cs:styleClr val="auto"/>
    </cs:fillRef>
    <cs:effectRef idx="0"/>
    <cs:fontRef idx="minor">
      <a:schemeClr val="tx1"/>
    </cs:fontRef>
    <cs:spPr>
      <a:solidFill>
        <a:schemeClr val="phClr"/>
      </a:solidFill>
      <a:ln w="9525">
        <a:solidFill>
          <a:schemeClr val="lt1"/>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lumOff val="10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ajor">
      <a:schemeClr val="dk1">
        <a:lumMod val="50000"/>
        <a:lumOff val="50000"/>
      </a:schemeClr>
    </cs:fontRef>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ajor">
      <a:schemeClr val="dk1">
        <a:lumMod val="50000"/>
        <a:lumOff val="50000"/>
      </a:schemeClr>
    </cs:fontRef>
    <cs:defRPr sz="1600" b="1" spc="0" normalizeH="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ajor">
      <a:schemeClr val="dk1">
        <a:lumMod val="50000"/>
        <a:lumOff val="50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ajor">
      <a:schemeClr val="dk1">
        <a:lumMod val="50000"/>
        <a:lumOff val="50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3" Type="http://schemas.microsoft.com/office/2014/relationships/chartEx" Target="../charts/chartEx3.xml"/><Relationship Id="rId2" Type="http://schemas.openxmlformats.org/officeDocument/2006/relationships/chart" Target="../charts/chart5.xml"/><Relationship Id="rId1" Type="http://schemas.openxmlformats.org/officeDocument/2006/relationships/chart" Target="../charts/chart4.xml"/><Relationship Id="rId4"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twoCellAnchor>
    <xdr:from>
      <xdr:col>2</xdr:col>
      <xdr:colOff>361950</xdr:colOff>
      <xdr:row>1</xdr:row>
      <xdr:rowOff>57150</xdr:rowOff>
    </xdr:from>
    <xdr:to>
      <xdr:col>9</xdr:col>
      <xdr:colOff>565150</xdr:colOff>
      <xdr:row>15</xdr:row>
      <xdr:rowOff>25400</xdr:rowOff>
    </xdr:to>
    <xdr:graphicFrame macro="">
      <xdr:nvGraphicFramePr>
        <xdr:cNvPr id="2" name="Chart 1">
          <a:extLst>
            <a:ext uri="{FF2B5EF4-FFF2-40B4-BE49-F238E27FC236}">
              <a16:creationId xmlns:a16="http://schemas.microsoft.com/office/drawing/2014/main" id="{7F6846EF-E471-6D71-9FB5-321F400FDF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107950</xdr:colOff>
      <xdr:row>0</xdr:row>
      <xdr:rowOff>0</xdr:rowOff>
    </xdr:from>
    <xdr:to>
      <xdr:col>15</xdr:col>
      <xdr:colOff>107950</xdr:colOff>
      <xdr:row>14</xdr:row>
      <xdr:rowOff>41272</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6B0C77F2-2070-2B59-6153-44B7DCE1882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8178800" y="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101600</xdr:colOff>
      <xdr:row>3</xdr:row>
      <xdr:rowOff>117475</xdr:rowOff>
    </xdr:from>
    <xdr:to>
      <xdr:col>9</xdr:col>
      <xdr:colOff>247650</xdr:colOff>
      <xdr:row>18</xdr:row>
      <xdr:rowOff>98425</xdr:rowOff>
    </xdr:to>
    <xdr:graphicFrame macro="">
      <xdr:nvGraphicFramePr>
        <xdr:cNvPr id="4" name="Chart 3">
          <a:extLst>
            <a:ext uri="{FF2B5EF4-FFF2-40B4-BE49-F238E27FC236}">
              <a16:creationId xmlns:a16="http://schemas.microsoft.com/office/drawing/2014/main" id="{0C77080A-86D1-2051-F497-1A15DB2828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501650</xdr:colOff>
      <xdr:row>1</xdr:row>
      <xdr:rowOff>44450</xdr:rowOff>
    </xdr:from>
    <xdr:to>
      <xdr:col>9</xdr:col>
      <xdr:colOff>311150</xdr:colOff>
      <xdr:row>16</xdr:row>
      <xdr:rowOff>6350</xdr:rowOff>
    </xdr:to>
    <xdr:graphicFrame macro="">
      <xdr:nvGraphicFramePr>
        <xdr:cNvPr id="2" name="Chart 1">
          <a:extLst>
            <a:ext uri="{FF2B5EF4-FFF2-40B4-BE49-F238E27FC236}">
              <a16:creationId xmlns:a16="http://schemas.microsoft.com/office/drawing/2014/main" id="{6CF27AEE-D1D4-1CF7-C9C1-D434A869B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320675</xdr:colOff>
      <xdr:row>0</xdr:row>
      <xdr:rowOff>165100</xdr:rowOff>
    </xdr:from>
    <xdr:to>
      <xdr:col>13</xdr:col>
      <xdr:colOff>15875</xdr:colOff>
      <xdr:row>15</xdr:row>
      <xdr:rowOff>146050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FC549183-7A00-D8E0-492A-FEEE0E64C98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965575" y="16510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14</xdr:col>
      <xdr:colOff>44450</xdr:colOff>
      <xdr:row>3</xdr:row>
      <xdr:rowOff>114300</xdr:rowOff>
    </xdr:from>
    <xdr:to>
      <xdr:col>17</xdr:col>
      <xdr:colOff>44450</xdr:colOff>
      <xdr:row>17</xdr:row>
      <xdr:rowOff>155572</xdr:rowOff>
    </xdr:to>
    <mc:AlternateContent xmlns:mc="http://schemas.openxmlformats.org/markup-compatibility/2006">
      <mc:Choice xmlns:a14="http://schemas.microsoft.com/office/drawing/2010/main" Requires="a14">
        <xdr:graphicFrame macro="">
          <xdr:nvGraphicFramePr>
            <xdr:cNvPr id="3" name="department 2">
              <a:extLst>
                <a:ext uri="{FF2B5EF4-FFF2-40B4-BE49-F238E27FC236}">
                  <a16:creationId xmlns:a16="http://schemas.microsoft.com/office/drawing/2014/main" id="{9E6DAFF1-6C6B-0A0C-E47E-1E67B4888B35}"/>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dr:sp macro="" textlink="">
          <xdr:nvSpPr>
            <xdr:cNvPr id="0" name=""/>
            <xdr:cNvSpPr>
              <a:spLocks noTextEdit="1"/>
            </xdr:cNvSpPr>
          </xdr:nvSpPr>
          <xdr:spPr>
            <a:xfrm>
              <a:off x="9175750" y="66675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574675</xdr:colOff>
      <xdr:row>2</xdr:row>
      <xdr:rowOff>146050</xdr:rowOff>
    </xdr:from>
    <xdr:to>
      <xdr:col>12</xdr:col>
      <xdr:colOff>269875</xdr:colOff>
      <xdr:row>17</xdr:row>
      <xdr:rowOff>127000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36A5EE06-FBDE-FF14-8EE6-5DED234CE56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667125" y="5143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xdr:col>
      <xdr:colOff>95250</xdr:colOff>
      <xdr:row>7</xdr:row>
      <xdr:rowOff>0</xdr:rowOff>
    </xdr:from>
    <xdr:to>
      <xdr:col>3</xdr:col>
      <xdr:colOff>419100</xdr:colOff>
      <xdr:row>21</xdr:row>
      <xdr:rowOff>41272</xdr:rowOff>
    </xdr:to>
    <mc:AlternateContent xmlns:mc="http://schemas.openxmlformats.org/markup-compatibility/2006" xmlns:a14="http://schemas.microsoft.com/office/drawing/2010/main">
      <mc:Choice Requires="a14">
        <xdr:graphicFrame macro="">
          <xdr:nvGraphicFramePr>
            <xdr:cNvPr id="3" name="department 3">
              <a:extLst>
                <a:ext uri="{FF2B5EF4-FFF2-40B4-BE49-F238E27FC236}">
                  <a16:creationId xmlns:a16="http://schemas.microsoft.com/office/drawing/2014/main" id="{9E1821C8-BCA9-90AF-ECBD-6B817552026E}"/>
                </a:ext>
              </a:extLst>
            </xdr:cNvPr>
            <xdr:cNvGraphicFramePr/>
          </xdr:nvGraphicFramePr>
          <xdr:xfrm>
            <a:off x="0" y="0"/>
            <a:ext cx="0" cy="0"/>
          </xdr:xfrm>
          <a:graphic>
            <a:graphicData uri="http://schemas.microsoft.com/office/drawing/2010/slicer">
              <sle:slicer xmlns:sle="http://schemas.microsoft.com/office/drawing/2010/slicer" name="department 3"/>
            </a:graphicData>
          </a:graphic>
        </xdr:graphicFrame>
      </mc:Choice>
      <mc:Fallback xmlns="">
        <xdr:sp macro="" textlink="">
          <xdr:nvSpPr>
            <xdr:cNvPr id="0" name=""/>
            <xdr:cNvSpPr>
              <a:spLocks noTextEdit="1"/>
            </xdr:cNvSpPr>
          </xdr:nvSpPr>
          <xdr:spPr>
            <a:xfrm>
              <a:off x="965200" y="128905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58616</xdr:colOff>
      <xdr:row>0</xdr:row>
      <xdr:rowOff>149330</xdr:rowOff>
    </xdr:from>
    <xdr:to>
      <xdr:col>21</xdr:col>
      <xdr:colOff>517770</xdr:colOff>
      <xdr:row>41</xdr:row>
      <xdr:rowOff>87923</xdr:rowOff>
    </xdr:to>
    <xdr:sp macro="" textlink="">
      <xdr:nvSpPr>
        <xdr:cNvPr id="2" name="Rectangle: Rounded Corners 1">
          <a:extLst>
            <a:ext uri="{FF2B5EF4-FFF2-40B4-BE49-F238E27FC236}">
              <a16:creationId xmlns:a16="http://schemas.microsoft.com/office/drawing/2014/main" id="{F6F2EF87-9140-1D75-B0E0-A35A3C2C751A}"/>
            </a:ext>
          </a:extLst>
        </xdr:cNvPr>
        <xdr:cNvSpPr/>
      </xdr:nvSpPr>
      <xdr:spPr>
        <a:xfrm>
          <a:off x="58616" y="149330"/>
          <a:ext cx="13178692" cy="7548824"/>
        </a:xfrm>
        <a:prstGeom prst="roundRect">
          <a:avLst>
            <a:gd name="adj" fmla="val 9968"/>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429847</xdr:colOff>
      <xdr:row>29</xdr:row>
      <xdr:rowOff>39078</xdr:rowOff>
    </xdr:from>
    <xdr:to>
      <xdr:col>10</xdr:col>
      <xdr:colOff>508000</xdr:colOff>
      <xdr:row>40</xdr:row>
      <xdr:rowOff>146539</xdr:rowOff>
    </xdr:to>
    <xdr:graphicFrame macro="">
      <xdr:nvGraphicFramePr>
        <xdr:cNvPr id="3" name="Chart 2">
          <a:extLst>
            <a:ext uri="{FF2B5EF4-FFF2-40B4-BE49-F238E27FC236}">
              <a16:creationId xmlns:a16="http://schemas.microsoft.com/office/drawing/2014/main" id="{AB468621-E1F4-46CC-9E40-1B8F6A1EBB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494322</xdr:colOff>
      <xdr:row>22</xdr:row>
      <xdr:rowOff>55128</xdr:rowOff>
    </xdr:from>
    <xdr:to>
      <xdr:col>6</xdr:col>
      <xdr:colOff>468921</xdr:colOff>
      <xdr:row>24</xdr:row>
      <xdr:rowOff>9770</xdr:rowOff>
    </xdr:to>
    <xdr:sp macro="" textlink="">
      <xdr:nvSpPr>
        <xdr:cNvPr id="4" name="Rectangle 3">
          <a:extLst>
            <a:ext uri="{FF2B5EF4-FFF2-40B4-BE49-F238E27FC236}">
              <a16:creationId xmlns:a16="http://schemas.microsoft.com/office/drawing/2014/main" id="{D78F69E1-6007-AB2F-A246-E30C59FC3A9D}"/>
            </a:ext>
          </a:extLst>
        </xdr:cNvPr>
        <xdr:cNvSpPr/>
      </xdr:nvSpPr>
      <xdr:spPr>
        <a:xfrm>
          <a:off x="2311399" y="4138666"/>
          <a:ext cx="1791676" cy="32587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rgbClr val="002060"/>
              </a:solidFill>
            </a:rPr>
            <a:t>Quarterly Amount</a:t>
          </a:r>
          <a:endParaRPr lang="en-IN" sz="1600" b="1">
            <a:solidFill>
              <a:srgbClr val="002060"/>
            </a:solidFill>
          </a:endParaRPr>
        </a:p>
      </xdr:txBody>
    </xdr:sp>
    <xdr:clientData/>
  </xdr:twoCellAnchor>
  <xdr:twoCellAnchor>
    <xdr:from>
      <xdr:col>9</xdr:col>
      <xdr:colOff>553358</xdr:colOff>
      <xdr:row>0</xdr:row>
      <xdr:rowOff>163286</xdr:rowOff>
    </xdr:from>
    <xdr:to>
      <xdr:col>15</xdr:col>
      <xdr:colOff>108857</xdr:colOff>
      <xdr:row>3</xdr:row>
      <xdr:rowOff>36285</xdr:rowOff>
    </xdr:to>
    <xdr:sp macro="" textlink="">
      <xdr:nvSpPr>
        <xdr:cNvPr id="6" name="Rectangle 5">
          <a:extLst>
            <a:ext uri="{FF2B5EF4-FFF2-40B4-BE49-F238E27FC236}">
              <a16:creationId xmlns:a16="http://schemas.microsoft.com/office/drawing/2014/main" id="{F3D3C162-FED3-66AB-7F27-FEFA9F6A33E1}"/>
            </a:ext>
          </a:extLst>
        </xdr:cNvPr>
        <xdr:cNvSpPr/>
      </xdr:nvSpPr>
      <xdr:spPr>
        <a:xfrm>
          <a:off x="6023429" y="163286"/>
          <a:ext cx="3202214" cy="41728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b="1">
            <a:solidFill>
              <a:srgbClr val="002060"/>
            </a:solidFill>
          </a:endParaRPr>
        </a:p>
      </xdr:txBody>
    </xdr:sp>
    <xdr:clientData/>
  </xdr:twoCellAnchor>
  <xdr:twoCellAnchor>
    <xdr:from>
      <xdr:col>0</xdr:col>
      <xdr:colOff>167793</xdr:colOff>
      <xdr:row>9</xdr:row>
      <xdr:rowOff>175847</xdr:rowOff>
    </xdr:from>
    <xdr:to>
      <xdr:col>9</xdr:col>
      <xdr:colOff>332153</xdr:colOff>
      <xdr:row>26</xdr:row>
      <xdr:rowOff>166077</xdr:rowOff>
    </xdr:to>
    <xdr:graphicFrame macro="">
      <xdr:nvGraphicFramePr>
        <xdr:cNvPr id="10" name="Chart 9">
          <a:extLst>
            <a:ext uri="{FF2B5EF4-FFF2-40B4-BE49-F238E27FC236}">
              <a16:creationId xmlns:a16="http://schemas.microsoft.com/office/drawing/2014/main" id="{003266A2-6331-453B-A03B-1F3670C067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152117</xdr:colOff>
      <xdr:row>2</xdr:row>
      <xdr:rowOff>16848</xdr:rowOff>
    </xdr:from>
    <xdr:to>
      <xdr:col>21</xdr:col>
      <xdr:colOff>263769</xdr:colOff>
      <xdr:row>6</xdr:row>
      <xdr:rowOff>185614</xdr:rowOff>
    </xdr:to>
    <mc:AlternateContent xmlns:mc="http://schemas.openxmlformats.org/markup-compatibility/2006">
      <mc:Choice xmlns:a14="http://schemas.microsoft.com/office/drawing/2010/main" Requires="a14">
        <xdr:graphicFrame macro="">
          <xdr:nvGraphicFramePr>
            <xdr:cNvPr id="11" name="department 1">
              <a:extLst>
                <a:ext uri="{FF2B5EF4-FFF2-40B4-BE49-F238E27FC236}">
                  <a16:creationId xmlns:a16="http://schemas.microsoft.com/office/drawing/2014/main" id="{A3A54B99-4816-4E70-AEFC-E6AFD5B30269}"/>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6814732" y="388079"/>
              <a:ext cx="6168575" cy="9112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438916</xdr:colOff>
      <xdr:row>10</xdr:row>
      <xdr:rowOff>29308</xdr:rowOff>
    </xdr:from>
    <xdr:to>
      <xdr:col>21</xdr:col>
      <xdr:colOff>361461</xdr:colOff>
      <xdr:row>26</xdr:row>
      <xdr:rowOff>19538</xdr:rowOff>
    </xdr:to>
    <mc:AlternateContent xmlns:mc="http://schemas.openxmlformats.org/markup-compatibility/2006">
      <mc:Choice xmlns:cx1="http://schemas.microsoft.com/office/drawing/2015/9/8/chartex" Requires="cx1">
        <xdr:graphicFrame macro="">
          <xdr:nvGraphicFramePr>
            <xdr:cNvPr id="15" name="Chart 14">
              <a:extLst>
                <a:ext uri="{FF2B5EF4-FFF2-40B4-BE49-F238E27FC236}">
                  <a16:creationId xmlns:a16="http://schemas.microsoft.com/office/drawing/2014/main" id="{EE58B155-A515-4990-BAC5-1BC23AA515A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5890147" y="1885462"/>
              <a:ext cx="7190852" cy="296007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48848</xdr:colOff>
      <xdr:row>26</xdr:row>
      <xdr:rowOff>87923</xdr:rowOff>
    </xdr:from>
    <xdr:to>
      <xdr:col>20</xdr:col>
      <xdr:colOff>478693</xdr:colOff>
      <xdr:row>41</xdr:row>
      <xdr:rowOff>9769</xdr:rowOff>
    </xdr:to>
    <mc:AlternateContent xmlns:mc="http://schemas.openxmlformats.org/markup-compatibility/2006">
      <mc:Choice xmlns:cx1="http://schemas.microsoft.com/office/drawing/2015/9/8/chartex" Requires="cx1">
        <xdr:graphicFrame macro="">
          <xdr:nvGraphicFramePr>
            <xdr:cNvPr id="16" name="Chart 15">
              <a:extLst>
                <a:ext uri="{FF2B5EF4-FFF2-40B4-BE49-F238E27FC236}">
                  <a16:creationId xmlns:a16="http://schemas.microsoft.com/office/drawing/2014/main" id="{579816A8-03EE-4F0D-9FCC-1879716F43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6711463" y="4913923"/>
              <a:ext cx="5881076" cy="270607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419379</xdr:colOff>
      <xdr:row>1</xdr:row>
      <xdr:rowOff>163984</xdr:rowOff>
    </xdr:from>
    <xdr:to>
      <xdr:col>11</xdr:col>
      <xdr:colOff>9770</xdr:colOff>
      <xdr:row>8</xdr:row>
      <xdr:rowOff>156307</xdr:rowOff>
    </xdr:to>
    <mc:AlternateContent xmlns:mc="http://schemas.openxmlformats.org/markup-compatibility/2006">
      <mc:Choice xmlns:tsle="http://schemas.microsoft.com/office/drawing/2012/timeslicer" Requires="tsle">
        <xdr:graphicFrame macro="">
          <xdr:nvGraphicFramePr>
            <xdr:cNvPr id="5" name="booking_date ">
              <a:extLst>
                <a:ext uri="{FF2B5EF4-FFF2-40B4-BE49-F238E27FC236}">
                  <a16:creationId xmlns:a16="http://schemas.microsoft.com/office/drawing/2014/main" id="{D34A4A68-2E0D-4B41-A06E-3690EF1CF849}"/>
                </a:ext>
              </a:extLst>
            </xdr:cNvPr>
            <xdr:cNvGraphicFramePr/>
          </xdr:nvGraphicFramePr>
          <xdr:xfrm>
            <a:off x="0" y="0"/>
            <a:ext cx="0" cy="0"/>
          </xdr:xfrm>
          <a:graphic>
            <a:graphicData uri="http://schemas.microsoft.com/office/drawing/2012/timeslicer">
              <tsle:timeslicer xmlns:tsle="http://schemas.microsoft.com/office/drawing/2012/timeslicer" name="booking_date "/>
            </a:graphicData>
          </a:graphic>
        </xdr:graphicFrame>
      </mc:Choice>
      <mc:Fallback>
        <xdr:sp macro="" textlink="">
          <xdr:nvSpPr>
            <xdr:cNvPr id="0" name=""/>
            <xdr:cNvSpPr>
              <a:spLocks noTextEdit="1"/>
            </xdr:cNvSpPr>
          </xdr:nvSpPr>
          <xdr:spPr>
            <a:xfrm>
              <a:off x="419379" y="349599"/>
              <a:ext cx="6253006" cy="129163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xdr:col>
      <xdr:colOff>586154</xdr:colOff>
      <xdr:row>24</xdr:row>
      <xdr:rowOff>146539</xdr:rowOff>
    </xdr:from>
    <xdr:to>
      <xdr:col>6</xdr:col>
      <xdr:colOff>595923</xdr:colOff>
      <xdr:row>26</xdr:row>
      <xdr:rowOff>117231</xdr:rowOff>
    </xdr:to>
    <xdr:sp macro="" textlink="">
      <xdr:nvSpPr>
        <xdr:cNvPr id="7" name="Rectangle 6">
          <a:extLst>
            <a:ext uri="{FF2B5EF4-FFF2-40B4-BE49-F238E27FC236}">
              <a16:creationId xmlns:a16="http://schemas.microsoft.com/office/drawing/2014/main" id="{BFC95B40-8C8E-0323-7BD9-144F065BD172}"/>
            </a:ext>
          </a:extLst>
        </xdr:cNvPr>
        <xdr:cNvSpPr/>
      </xdr:nvSpPr>
      <xdr:spPr>
        <a:xfrm>
          <a:off x="1191846" y="4601308"/>
          <a:ext cx="3038231" cy="34192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800" b="1">
            <a:solidFill>
              <a:schemeClr val="accent1">
                <a:lumMod val="75000"/>
              </a:schemeClr>
            </a:solidFill>
          </a:endParaRPr>
        </a:p>
      </xdr:txBody>
    </xdr:sp>
    <xdr:clientData/>
  </xdr:twoCellAnchor>
  <xdr:twoCellAnchor>
    <xdr:from>
      <xdr:col>2</xdr:col>
      <xdr:colOff>498230</xdr:colOff>
      <xdr:row>27</xdr:row>
      <xdr:rowOff>48843</xdr:rowOff>
    </xdr:from>
    <xdr:to>
      <xdr:col>9</xdr:col>
      <xdr:colOff>48845</xdr:colOff>
      <xdr:row>29</xdr:row>
      <xdr:rowOff>68383</xdr:rowOff>
    </xdr:to>
    <xdr:sp macro="" textlink="Sheet3!A8">
      <xdr:nvSpPr>
        <xdr:cNvPr id="8" name="Rectangle 7">
          <a:extLst>
            <a:ext uri="{FF2B5EF4-FFF2-40B4-BE49-F238E27FC236}">
              <a16:creationId xmlns:a16="http://schemas.microsoft.com/office/drawing/2014/main" id="{F731C0C6-5690-A9B5-C2E6-44E057387C81}"/>
            </a:ext>
          </a:extLst>
        </xdr:cNvPr>
        <xdr:cNvSpPr/>
      </xdr:nvSpPr>
      <xdr:spPr>
        <a:xfrm>
          <a:off x="1709615" y="5060458"/>
          <a:ext cx="3790461" cy="39077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FC40D8E-A7CA-4257-8F9E-DA21AB3E58C9}" type="TxLink">
            <a:rPr lang="en-US" sz="2000" b="1" i="0" u="none" strike="noStrike">
              <a:solidFill>
                <a:srgbClr val="000000"/>
              </a:solidFill>
              <a:latin typeface="Aptos Narrow"/>
            </a:rPr>
            <a:pPr algn="l"/>
            <a:t>Amount by Quarter (Peak: Qtr1)</a:t>
          </a:fld>
          <a:endParaRPr lang="en-IN" sz="2000" b="1"/>
        </a:p>
      </xdr:txBody>
    </xdr:sp>
    <xdr:clientData/>
  </xdr:twoCellAnchor>
  <xdr:twoCellAnchor>
    <xdr:from>
      <xdr:col>11</xdr:col>
      <xdr:colOff>312614</xdr:colOff>
      <xdr:row>7</xdr:row>
      <xdr:rowOff>136769</xdr:rowOff>
    </xdr:from>
    <xdr:to>
      <xdr:col>21</xdr:col>
      <xdr:colOff>166077</xdr:colOff>
      <xdr:row>10</xdr:row>
      <xdr:rowOff>9769</xdr:rowOff>
    </xdr:to>
    <xdr:sp macro="" textlink="Sheet12!A10">
      <xdr:nvSpPr>
        <xdr:cNvPr id="12" name="Rectangle 11">
          <a:extLst>
            <a:ext uri="{FF2B5EF4-FFF2-40B4-BE49-F238E27FC236}">
              <a16:creationId xmlns:a16="http://schemas.microsoft.com/office/drawing/2014/main" id="{F4226C99-96A8-6477-27A3-01A3A8365E91}"/>
            </a:ext>
          </a:extLst>
        </xdr:cNvPr>
        <xdr:cNvSpPr/>
      </xdr:nvSpPr>
      <xdr:spPr>
        <a:xfrm>
          <a:off x="6975229" y="1436077"/>
          <a:ext cx="5910386" cy="42984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C70AA1B-EDC7-4617-8E3E-7145A6020FAB}" type="TxLink">
            <a:rPr lang="en-US" sz="2000" b="1" i="0" u="none" strike="noStrike">
              <a:solidFill>
                <a:schemeClr val="tx1"/>
              </a:solidFill>
              <a:latin typeface="Aptos Narrow"/>
            </a:rPr>
            <a:pPr algn="l"/>
            <a:t>Department wise Total Amount (Top: Neurology)</a:t>
          </a:fld>
          <a:endParaRPr lang="en-IN" sz="2000" b="1">
            <a:solidFill>
              <a:schemeClr val="tx1"/>
            </a:solidFill>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C" refreshedDate="46285.988883333332" createdVersion="8" refreshedVersion="8" minRefreshableVersion="3" recordCount="465" xr:uid="{7B58C6B2-F8D8-4A7A-A0CD-F1924C9944C6}">
  <cacheSource type="worksheet">
    <worksheetSource ref="A1:L466" sheet="Sheet1"/>
  </cacheSource>
  <cacheFields count="18">
    <cacheField name="patient_id" numFmtId="0">
      <sharedItems containsSemiMixedTypes="0" containsString="0" containsNumber="1" containsInteger="1" minValue="1000" maxValue="1100"/>
    </cacheField>
    <cacheField name="appointment_id" numFmtId="0">
      <sharedItems containsSemiMixedTypes="0" containsString="0" containsNumber="1" containsInteger="1" minValue="1" maxValue="465"/>
    </cacheField>
    <cacheField name="patient_name" numFmtId="0">
      <sharedItems/>
    </cacheField>
    <cacheField name="age" numFmtId="0">
      <sharedItems containsSemiMixedTypes="0" containsString="0" containsNumber="1" containsInteger="1" minValue="18" maxValue="90"/>
    </cacheField>
    <cacheField name="age group" numFmtId="0">
      <sharedItems count="3">
        <s v="Adult"/>
        <s v="Senior"/>
        <s v="Teenager"/>
      </sharedItems>
    </cacheField>
    <cacheField name="gender" numFmtId="0">
      <sharedItems count="2">
        <s v="Female"/>
        <s v="Male"/>
      </sharedItems>
    </cacheField>
    <cacheField name="apppontment_date " numFmtId="14">
      <sharedItems containsSemiMixedTypes="0" containsNonDate="0" containsDate="1" containsString="0" minDate="2025-01-05T00:00:00" maxDate="2026-09-03T00:00:00" count="279">
        <d v="2025-05-18T00:00:00"/>
        <d v="2025-04-23T00:00:00"/>
        <d v="2025-08-22T00:00:00"/>
        <d v="2026-03-07T00:00:00"/>
        <d v="2025-07-31T00:00:00"/>
        <d v="2025-11-11T00:00:00"/>
        <d v="2025-10-04T00:00:00"/>
        <d v="2025-10-14T00:00:00"/>
        <d v="2025-05-15T00:00:00"/>
        <d v="2026-01-30T00:00:00"/>
        <d v="2025-05-11T00:00:00"/>
        <d v="2025-06-27T00:00:00"/>
        <d v="2026-08-03T00:00:00"/>
        <d v="2025-11-09T00:00:00"/>
        <d v="2025-12-15T00:00:00"/>
        <d v="2025-06-07T00:00:00"/>
        <d v="2025-09-15T00:00:00"/>
        <d v="2025-09-08T00:00:00"/>
        <d v="2025-08-17T00:00:00"/>
        <d v="2025-05-24T00:00:00"/>
        <d v="2025-12-06T00:00:00"/>
        <d v="2025-10-01T00:00:00"/>
        <d v="2025-08-14T00:00:00"/>
        <d v="2026-01-28T00:00:00"/>
        <d v="2025-08-06T00:00:00"/>
        <d v="2025-07-09T00:00:00"/>
        <d v="2025-08-05T00:00:00"/>
        <d v="2025-04-06T00:00:00"/>
        <d v="2025-08-08T00:00:00"/>
        <d v="2025-12-09T00:00:00"/>
        <d v="2025-11-12T00:00:00"/>
        <d v="2025-07-19T00:00:00"/>
        <d v="2025-10-09T00:00:00"/>
        <d v="2026-02-19T00:00:00"/>
        <d v="2025-10-22T00:00:00"/>
        <d v="2025-11-02T00:00:00"/>
        <d v="2026-03-02T00:00:00"/>
        <d v="2026-03-13T00:00:00"/>
        <d v="2025-12-13T00:00:00"/>
        <d v="2025-11-23T00:00:00"/>
        <d v="2026-02-25T00:00:00"/>
        <d v="2025-09-05T00:00:00"/>
        <d v="2025-03-07T00:00:00"/>
        <d v="2025-09-23T00:00:00"/>
        <d v="2025-11-07T00:00:00"/>
        <d v="2025-10-31T00:00:00"/>
        <d v="2025-06-08T00:00:00"/>
        <d v="2026-02-18T00:00:00"/>
        <d v="2026-02-16T00:00:00"/>
        <d v="2025-06-26T00:00:00"/>
        <d v="2025-12-28T00:00:00"/>
        <d v="2025-01-12T00:00:00"/>
        <d v="2025-11-22T00:00:00"/>
        <d v="2025-11-29T00:00:00"/>
        <d v="2025-12-27T00:00:00"/>
        <d v="2026-02-28T00:00:00"/>
        <d v="2025-05-04T00:00:00"/>
        <d v="2025-04-24T00:00:00"/>
        <d v="2025-10-28T00:00:00"/>
        <d v="2026-01-07T00:00:00"/>
        <d v="2025-11-06T00:00:00"/>
        <d v="2025-09-29T00:00:00"/>
        <d v="2025-01-05T00:00:00"/>
        <d v="2025-09-21T00:00:00"/>
        <d v="2026-01-02T00:00:00"/>
        <d v="2025-11-01T00:00:00"/>
        <d v="2025-04-29T00:00:00"/>
        <d v="2025-04-08T00:00:00"/>
        <d v="2025-10-25T00:00:00"/>
        <d v="2025-10-08T00:00:00"/>
        <d v="2025-10-26T00:00:00"/>
        <d v="2025-07-29T00:00:00"/>
        <d v="2025-05-13T00:00:00"/>
        <d v="2025-10-21T00:00:00"/>
        <d v="2025-11-13T00:00:00"/>
        <d v="2025-05-25T00:00:00"/>
        <d v="2025-05-06T00:00:00"/>
        <d v="2025-11-26T00:00:00"/>
        <d v="2025-06-04T00:00:00"/>
        <d v="2025-05-27T00:00:00"/>
        <d v="2025-04-04T00:00:00"/>
        <d v="2025-03-26T00:00:00"/>
        <d v="2026-02-06T00:00:00"/>
        <d v="2025-08-23T00:00:00"/>
        <d v="2026-07-03T00:00:00"/>
        <d v="2026-08-01T00:00:00"/>
        <d v="2025-10-19T00:00:00"/>
        <d v="2025-08-18T00:00:00"/>
        <d v="2025-08-28T00:00:00"/>
        <d v="2025-05-17T00:00:00"/>
        <d v="2025-12-29T00:00:00"/>
        <d v="2026-01-09T00:00:00"/>
        <d v="2025-12-26T00:00:00"/>
        <d v="2025-03-27T00:00:00"/>
        <d v="2026-01-16T00:00:00"/>
        <d v="2026-02-15T00:00:00"/>
        <d v="2025-04-27T00:00:00"/>
        <d v="2025-07-06T00:00:00"/>
        <d v="2025-08-19T00:00:00"/>
        <d v="2025-12-05T00:00:00"/>
        <d v="2025-10-06T00:00:00"/>
        <d v="2025-06-20T00:00:00"/>
        <d v="2025-11-05T00:00:00"/>
        <d v="2025-10-20T00:00:00"/>
        <d v="2025-04-21T00:00:00"/>
        <d v="2025-05-30T00:00:00"/>
        <d v="2026-01-22T00:00:00"/>
        <d v="2026-02-14T00:00:00"/>
        <d v="2026-01-06T00:00:00"/>
        <d v="2026-03-11T00:00:00"/>
        <d v="2025-05-14T00:00:00"/>
        <d v="2025-12-25T00:00:00"/>
        <d v="2025-09-20T00:00:00"/>
        <d v="2025-08-25T00:00:00"/>
        <d v="2026-03-01T00:00:00"/>
        <d v="2025-06-22T00:00:00"/>
        <d v="2026-01-25T00:00:00"/>
        <d v="2025-08-27T00:00:00"/>
        <d v="2026-03-04T00:00:00"/>
        <d v="2025-05-21T00:00:00"/>
        <d v="2025-12-17T00:00:00"/>
        <d v="2025-11-08T00:00:00"/>
        <d v="2025-05-01T00:00:00"/>
        <d v="2026-02-12T00:00:00"/>
        <d v="2025-06-18T00:00:00"/>
        <d v="2025-04-25T00:00:00"/>
        <d v="2025-11-15T00:00:00"/>
        <d v="2025-12-07T00:00:00"/>
        <d v="2025-08-13T00:00:00"/>
        <d v="2025-06-28T00:00:00"/>
        <d v="2025-06-10T00:00:00"/>
        <d v="2026-02-17T00:00:00"/>
        <d v="2026-01-05T00:00:00"/>
        <d v="2025-07-02T00:00:00"/>
        <d v="2026-03-12T00:00:00"/>
        <d v="2025-06-30T00:00:00"/>
        <d v="2025-10-02T00:00:00"/>
        <d v="2026-02-23T00:00:00"/>
        <d v="2025-12-20T00:00:00"/>
        <d v="2025-12-22T00:00:00"/>
        <d v="2025-07-08T00:00:00"/>
        <d v="2025-12-31T00:00:00"/>
        <d v="2025-06-16T00:00:00"/>
        <d v="2025-04-01T00:00:00"/>
        <d v="2026-02-01T00:00:00"/>
        <d v="2025-09-16T00:00:00"/>
        <d v="2025-08-12T00:00:00"/>
        <d v="2025-07-24T00:00:00"/>
        <d v="2025-08-24T00:00:00"/>
        <d v="2025-12-19T00:00:00"/>
        <d v="2025-11-28T00:00:00"/>
        <d v="2025-04-14T00:00:00"/>
        <d v="2025-07-04T00:00:00"/>
        <d v="2025-06-21T00:00:00"/>
        <d v="2026-03-16T00:00:00"/>
        <d v="2025-09-12T00:00:00"/>
        <d v="2026-02-26T00:00:00"/>
        <d v="2026-03-06T00:00:00"/>
        <d v="2025-07-16T00:00:00"/>
        <d v="2025-06-05T00:00:00"/>
        <d v="2025-09-07T00:00:00"/>
        <d v="2025-09-11T00:00:00"/>
        <d v="2025-10-24T00:00:00"/>
        <d v="2025-10-16T00:00:00"/>
        <d v="2025-07-20T00:00:00"/>
        <d v="2026-01-08T00:00:00"/>
        <d v="2025-06-11T00:00:00"/>
        <d v="2025-12-23T00:00:00"/>
        <d v="2025-09-27T00:00:00"/>
        <d v="2025-12-14T00:00:00"/>
        <d v="2026-03-15T00:00:00"/>
        <d v="2026-02-07T00:00:00"/>
        <d v="2025-09-09T00:00:00"/>
        <d v="2025-11-18T00:00:00"/>
        <d v="2025-09-18T00:00:00"/>
        <d v="2025-05-31T00:00:00"/>
        <d v="2025-08-10T00:00:00"/>
        <d v="2025-10-27T00:00:00"/>
        <d v="2025-11-19T00:00:00"/>
        <d v="2025-04-17T00:00:00"/>
        <d v="2026-09-02T00:00:00"/>
        <d v="2025-09-01T00:00:00"/>
        <d v="2026-01-24T00:00:00"/>
        <d v="2025-09-10T00:00:00"/>
        <d v="2025-07-30T00:00:00"/>
        <d v="2025-08-03T00:00:00"/>
        <d v="2025-05-29T00:00:00"/>
        <d v="2025-04-15T00:00:00"/>
        <d v="2026-01-26T00:00:00"/>
        <d v="2025-07-14T00:00:00"/>
        <d v="2025-07-18T00:00:00"/>
        <d v="2025-11-14T00:00:00"/>
        <d v="2025-04-05T00:00:00"/>
        <d v="2025-02-10T00:00:00"/>
        <d v="2025-10-23T00:00:00"/>
        <d v="2025-07-25T00:00:00"/>
        <d v="2025-04-13T00:00:00"/>
        <d v="2026-01-01T00:00:00"/>
        <d v="2025-11-10T00:00:00"/>
        <d v="2025-08-01T00:00:00"/>
        <d v="2026-02-24T00:00:00"/>
        <d v="2025-08-15T00:00:00"/>
        <d v="2025-05-12T00:00:00"/>
        <d v="2025-06-19T00:00:00"/>
        <d v="2025-04-20T00:00:00"/>
        <d v="2025-12-21T00:00:00"/>
        <d v="2025-06-12T00:00:00"/>
        <d v="2025-08-26T00:00:00"/>
        <d v="2025-11-16T00:00:00"/>
        <d v="2026-03-08T00:00:00"/>
        <d v="2025-05-20T00:00:00"/>
        <d v="2025-11-30T00:00:00"/>
        <d v="2025-05-19T00:00:00"/>
        <d v="2026-04-01T00:00:00"/>
        <d v="2025-11-21T00:00:00"/>
        <d v="2026-01-04T00:00:00"/>
        <d v="2026-02-22T00:00:00"/>
        <d v="2025-08-07T00:00:00"/>
        <d v="2025-04-22T00:00:00"/>
        <d v="2025-06-23T00:00:00"/>
        <d v="2025-05-23T00:00:00"/>
        <d v="2025-11-24T00:00:00"/>
        <d v="2026-03-20T00:00:00"/>
        <d v="2026-03-05T00:00:00"/>
        <d v="2025-10-10T00:00:00"/>
        <d v="2025-12-04T00:00:00"/>
        <d v="2025-12-24T00:00:00"/>
        <d v="2025-07-05T00:00:00"/>
        <d v="2026-03-25T00:00:00"/>
        <d v="2025-10-30T00:00:00"/>
        <d v="2026-02-02T00:00:00"/>
        <d v="2025-09-28T00:00:00"/>
        <d v="2026-01-21T00:00:00"/>
        <d v="2025-11-27T00:00:00"/>
        <d v="2025-03-28T00:00:00"/>
        <d v="2025-04-18T00:00:00"/>
        <d v="2025-04-12T00:00:00"/>
        <d v="2025-02-06T00:00:00"/>
        <d v="2025-03-09T00:00:00"/>
        <d v="2026-01-20T00:00:00"/>
        <d v="2026-01-29T00:00:00"/>
        <d v="2025-07-01T00:00:00"/>
        <d v="2026-04-03T00:00:00"/>
        <d v="2026-03-26T00:00:00"/>
        <d v="2025-12-03T00:00:00"/>
        <d v="2025-12-01T00:00:00"/>
        <d v="2025-11-25T00:00:00"/>
        <d v="2026-01-15T00:00:00"/>
        <d v="2025-05-09T00:00:00"/>
        <d v="2025-12-10T00:00:00"/>
        <d v="2026-02-04T00:00:00"/>
        <d v="2025-05-26T00:00:00"/>
        <d v="2025-08-21T00:00:00"/>
        <d v="2026-01-23T00:00:00"/>
        <d v="2025-07-23T00:00:00"/>
        <d v="2026-02-09T00:00:00"/>
        <d v="2025-07-27T00:00:00"/>
        <d v="2025-10-07T00:00:00"/>
        <d v="2025-11-20T00:00:00"/>
        <d v="2026-01-19T00:00:00"/>
        <d v="2025-04-02T00:00:00"/>
        <d v="2025-03-31T00:00:00"/>
        <d v="2025-04-07T00:00:00"/>
        <d v="2025-10-13T00:00:00"/>
        <d v="2026-07-02T00:00:00"/>
        <d v="2026-03-22T00:00:00"/>
        <d v="2025-03-06T00:00:00"/>
        <d v="2025-12-02T00:00:00"/>
        <d v="2025-10-29T00:00:00"/>
        <d v="2025-09-26T00:00:00"/>
        <d v="2026-01-10T00:00:00"/>
        <d v="2025-06-15T00:00:00"/>
        <d v="2025-10-17T00:00:00"/>
        <d v="2025-06-14T00:00:00"/>
        <d v="2025-07-03T00:00:00"/>
        <d v="2026-02-21T00:00:00"/>
        <d v="2025-06-13T00:00:00"/>
        <d v="2025-09-14T00:00:00"/>
        <d v="2025-04-09T00:00:00"/>
      </sharedItems>
      <fieldGroup par="14"/>
    </cacheField>
    <cacheField name="booking_date " numFmtId="14">
      <sharedItems containsSemiMixedTypes="0" containsNonDate="0" containsDate="1" containsString="0" minDate="2024-01-04T00:00:00" maxDate="2026-07-04T00:00:00" count="331">
        <d v="2024-09-09T00:00:00"/>
        <d v="2025-03-28T00:00:00"/>
        <d v="2024-11-07T00:00:00"/>
        <d v="2024-04-24T00:00:00"/>
        <d v="2024-05-05T00:00:00"/>
        <d v="2024-12-01T00:00:00"/>
        <d v="2024-12-16T00:00:00"/>
        <d v="2024-05-28T00:00:00"/>
        <d v="2024-12-08T00:00:00"/>
        <d v="2024-07-06T00:00:00"/>
        <d v="2024-04-09T00:00:00"/>
        <d v="2025-06-05T00:00:00"/>
        <d v="2024-07-09T00:00:00"/>
        <d v="2024-11-04T00:00:00"/>
        <d v="2024-10-05T00:00:00"/>
        <d v="2025-07-21T00:00:00"/>
        <d v="2024-12-09T00:00:00"/>
        <d v="2024-05-09T00:00:00"/>
        <d v="2025-05-16T00:00:00"/>
        <d v="2024-09-23T00:00:00"/>
        <d v="2024-07-18T00:00:00"/>
        <d v="2025-04-25T00:00:00"/>
        <d v="2024-08-11T00:00:00"/>
        <d v="2024-10-13T00:00:00"/>
        <d v="2024-06-03T00:00:00"/>
        <d v="2025-05-06T00:00:00"/>
        <d v="2025-03-23T00:00:00"/>
        <d v="2025-09-10T00:00:00"/>
        <d v="2025-03-04T00:00:00"/>
        <d v="2025-02-03T00:00:00"/>
        <d v="2025-01-26T00:00:00"/>
        <d v="2025-05-24T00:00:00"/>
        <d v="2025-07-12T00:00:00"/>
        <d v="2025-06-24T00:00:00"/>
        <d v="2025-06-30T00:00:00"/>
        <d v="2024-06-10T00:00:00"/>
        <d v="2024-08-20T00:00:00"/>
        <d v="2024-09-16T00:00:00"/>
        <d v="2025-07-19T00:00:00"/>
        <d v="2025-04-24T00:00:00"/>
        <d v="2024-05-23T00:00:00"/>
        <d v="2024-11-21T00:00:00"/>
        <d v="2025-07-27T00:00:00"/>
        <d v="2025-06-18T00:00:00"/>
        <d v="2025-09-24T00:00:00"/>
        <d v="2025-01-06T00:00:00"/>
        <d v="2024-12-18T00:00:00"/>
        <d v="2024-08-25T00:00:00"/>
        <d v="2024-07-15T00:00:00"/>
        <d v="2025-03-19T00:00:00"/>
        <d v="2025-01-14T00:00:00"/>
        <d v="2025-08-26T00:00:00"/>
        <d v="2025-05-19T00:00:00"/>
        <d v="2025-12-22T00:00:00"/>
        <d v="2024-10-28T00:00:00"/>
        <d v="2024-11-14T00:00:00"/>
        <d v="2025-07-11T00:00:00"/>
        <d v="2025-05-27T00:00:00"/>
        <d v="2025-03-22T00:00:00"/>
        <d v="2024-07-11T00:00:00"/>
        <d v="2024-10-08T00:00:00"/>
        <d v="2024-10-16T00:00:00"/>
        <d v="2024-05-26T00:00:00"/>
        <d v="2025-05-15T00:00:00"/>
        <d v="2024-07-25T00:00:00"/>
        <d v="2024-05-11T00:00:00"/>
        <d v="2025-11-29T00:00:00"/>
        <d v="2025-02-15T00:00:00"/>
        <d v="2024-05-25T00:00:00"/>
        <d v="2025-04-07T00:00:00"/>
        <d v="2024-12-04T00:00:00"/>
        <d v="2024-03-09T00:00:00"/>
        <d v="2025-03-24T00:00:00"/>
        <d v="2025-02-19T00:00:00"/>
        <d v="2024-06-06T00:00:00"/>
        <d v="2024-09-02T00:00:00"/>
        <d v="2025-06-23T00:00:00"/>
        <d v="2024-09-28T00:00:00"/>
        <d v="2025-08-25T00:00:00"/>
        <d v="2024-02-08T00:00:00"/>
        <d v="2025-02-28T00:00:00"/>
        <d v="2024-10-23T00:00:00"/>
        <d v="2024-07-29T00:00:00"/>
        <d v="2025-02-21T00:00:00"/>
        <d v="2024-05-16T00:00:00"/>
        <d v="2024-12-03T00:00:00"/>
        <d v="2024-11-12T00:00:00"/>
        <d v="2025-03-30T00:00:00"/>
        <d v="2024-08-13T00:00:00"/>
        <d v="2025-08-02T00:00:00"/>
        <d v="2024-07-23T00:00:00"/>
        <d v="2024-09-04T00:00:00"/>
        <d v="2024-12-25T00:00:00"/>
        <d v="2024-05-29T00:00:00"/>
        <d v="2025-06-08T00:00:00"/>
        <d v="2025-08-13T00:00:00"/>
        <d v="2024-05-20T00:00:00"/>
        <d v="2024-04-20T00:00:00"/>
        <d v="2025-05-30T00:00:00"/>
        <d v="2025-04-18T00:00:00"/>
        <d v="2025-05-10T00:00:00"/>
        <d v="2024-06-15T00:00:00"/>
        <d v="2024-06-13T00:00:00"/>
        <d v="2025-02-13T00:00:00"/>
        <d v="2025-04-02T00:00:00"/>
        <d v="2025-08-07T00:00:00"/>
        <d v="2024-11-16T00:00:00"/>
        <d v="2024-05-14T00:00:00"/>
        <d v="2024-04-07T00:00:00"/>
        <d v="2024-12-27T00:00:00"/>
        <d v="2024-12-07T00:00:00"/>
        <d v="2024-06-18T00:00:00"/>
        <d v="2025-12-06T00:00:00"/>
        <d v="2024-10-11T00:00:00"/>
        <d v="2025-07-23T00:00:00"/>
        <d v="2025-06-15T00:00:00"/>
        <d v="2024-05-04T00:00:00"/>
        <d v="2025-05-12T00:00:00"/>
        <d v="2024-12-13T00:00:00"/>
        <d v="2025-03-05T00:00:00"/>
        <d v="2024-06-24T00:00:00"/>
        <d v="2024-04-03T00:00:00"/>
        <d v="2024-12-21T00:00:00"/>
        <d v="2024-04-26T00:00:00"/>
        <d v="2025-07-13T00:00:00"/>
        <d v="2025-12-28T00:00:00"/>
        <d v="2025-09-21T00:00:00"/>
        <d v="2024-08-18T00:00:00"/>
        <d v="2024-04-27T00:00:00"/>
        <d v="2024-08-02T00:00:00"/>
        <d v="2024-10-02T00:00:00"/>
        <d v="2024-04-16T00:00:00"/>
        <d v="2024-04-12T00:00:00"/>
        <d v="2024-06-11T00:00:00"/>
        <d v="2025-04-01T00:00:00"/>
        <d v="2025-01-08T00:00:00"/>
        <d v="2024-09-21T00:00:00"/>
        <d v="2024-12-22T00:00:00"/>
        <d v="2024-09-20T00:00:00"/>
        <d v="2024-12-02T00:00:00"/>
        <d v="2024-05-31T00:00:00"/>
        <d v="2024-08-14T00:00:00"/>
        <d v="2025-08-11T00:00:00"/>
        <d v="2025-01-24T00:00:00"/>
        <d v="2025-03-17T00:00:00"/>
        <d v="2025-09-12T00:00:00"/>
        <d v="2024-04-04T00:00:00"/>
        <d v="2024-03-27T00:00:00"/>
        <d v="2024-05-17T00:00:00"/>
        <d v="2024-11-02T00:00:00"/>
        <d v="2025-02-01T00:00:00"/>
        <d v="2025-04-19T00:00:00"/>
        <d v="2024-03-26T00:00:00"/>
        <d v="2024-09-13T00:00:00"/>
        <d v="2025-02-26T00:00:00"/>
        <d v="2025-01-16T00:00:00"/>
        <d v="2025-10-11T00:00:00"/>
        <d v="2025-07-04T00:00:00"/>
        <d v="2024-11-25T00:00:00"/>
        <d v="2025-04-20T00:00:00"/>
        <d v="2024-12-12T00:00:00"/>
        <d v="2024-06-20T00:00:00"/>
        <d v="2024-10-31T00:00:00"/>
        <d v="2025-03-13T00:00:00"/>
        <d v="2025-01-30T00:00:00"/>
        <d v="2024-06-19T00:00:00"/>
        <d v="2025-10-21T00:00:00"/>
        <d v="2025-07-09T00:00:00"/>
        <d v="2025-06-13T00:00:00"/>
        <d v="2025-01-20T00:00:00"/>
        <d v="2024-07-31T00:00:00"/>
        <d v="2025-09-05T00:00:00"/>
        <d v="2025-03-27T00:00:00"/>
        <d v="2025-06-10T00:00:00"/>
        <d v="2024-04-29T00:00:00"/>
        <d v="2025-05-14T00:00:00"/>
        <d v="2025-08-19T00:00:00"/>
        <d v="2026-01-11T00:00:00"/>
        <d v="2024-11-24T00:00:00"/>
        <d v="2025-11-14T00:00:00"/>
        <d v="2025-06-19T00:00:00"/>
        <d v="2025-04-04T00:00:00"/>
        <d v="2024-04-05T00:00:00"/>
        <d v="2024-05-30T00:00:00"/>
        <d v="2024-06-27T00:00:00"/>
        <d v="2024-04-14T00:00:00"/>
        <d v="2024-04-18T00:00:00"/>
        <d v="2025-02-02T00:00:00"/>
        <d v="2025-02-07T00:00:00"/>
        <d v="2025-11-04T00:00:00"/>
        <d v="2024-05-10T00:00:00"/>
        <d v="2025-04-22T00:00:00"/>
        <d v="2024-11-09T00:00:00"/>
        <d v="2025-11-07T00:00:00"/>
        <d v="2025-03-14T00:00:00"/>
        <d v="2025-01-15T00:00:00"/>
        <d v="2024-09-15T00:00:00"/>
        <d v="2026-01-21T00:00:00"/>
        <d v="2024-11-28T00:00:00"/>
        <d v="2024-11-18T00:00:00"/>
        <d v="2025-07-07T00:00:00"/>
        <d v="2026-01-16T00:00:00"/>
        <d v="2025-10-01T00:00:00"/>
        <d v="2025-05-26T00:00:00"/>
        <d v="2025-02-08T00:00:00"/>
        <d v="2024-06-01T00:00:00"/>
        <d v="2024-09-05T00:00:00"/>
        <d v="2024-08-16T00:00:00"/>
        <d v="2025-08-31T00:00:00"/>
        <d v="2024-04-08T00:00:00"/>
        <d v="2025-09-14T00:00:00"/>
        <d v="2025-04-27T00:00:00"/>
        <d v="2024-08-05T00:00:00"/>
        <d v="2024-08-23T00:00:00"/>
        <d v="2025-09-06T00:00:00"/>
        <d v="2025-08-14T00:00:00"/>
        <d v="2025-05-17T00:00:00"/>
        <d v="2024-05-07T00:00:00"/>
        <d v="2024-08-06T00:00:00"/>
        <d v="2025-11-21T00:00:00"/>
        <d v="2024-12-19T00:00:00"/>
        <d v="2024-06-16T00:00:00"/>
        <d v="2025-05-18T00:00:00"/>
        <d v="2024-09-18T00:00:00"/>
        <d v="2024-11-03T00:00:00"/>
        <d v="2024-11-19T00:00:00"/>
        <d v="2025-11-11T00:00:00"/>
        <d v="2025-03-20T00:00:00"/>
        <d v="2025-04-08T00:00:00"/>
        <d v="2025-10-18T00:00:00"/>
        <d v="2025-01-02T00:00:00"/>
        <d v="2024-10-19T00:00:00"/>
        <d v="2024-04-13T00:00:00"/>
        <d v="2025-01-23T00:00:00"/>
        <d v="2025-04-16T00:00:00"/>
        <d v="2025-09-11T00:00:00"/>
        <d v="2025-06-12T00:00:00"/>
        <d v="2024-06-04T00:00:00"/>
        <d v="2025-04-03T00:00:00"/>
        <d v="2024-10-24T00:00:00"/>
        <d v="2024-10-18T00:00:00"/>
        <d v="2024-01-09T00:00:00"/>
        <d v="2024-12-29T00:00:00"/>
        <d v="2025-02-22T00:00:00"/>
        <d v="2024-09-03T00:00:00"/>
        <d v="2025-10-08T00:00:00"/>
        <d v="2025-03-26T00:00:00"/>
        <d v="2024-07-13T00:00:00"/>
        <d v="2024-09-27T00:00:00"/>
        <d v="2025-01-05T00:00:00"/>
        <d v="2024-12-26T00:00:00"/>
        <d v="2024-10-22T00:00:00"/>
        <d v="2025-07-06T00:00:00"/>
        <d v="2024-08-31T00:00:00"/>
        <d v="2024-06-12T00:00:00"/>
        <d v="2025-02-14T00:00:00"/>
        <d v="2025-06-21T00:00:00"/>
        <d v="2025-08-23T00:00:00"/>
        <d v="2024-08-30T00:00:00"/>
        <d v="2024-01-06T00:00:00"/>
        <d v="2024-07-30T00:00:00"/>
        <d v="2024-08-15T00:00:00"/>
        <d v="2025-02-16T00:00:00"/>
        <d v="2024-09-24T00:00:00"/>
        <d v="2024-07-07T00:00:00"/>
        <d v="2024-02-06T00:00:00"/>
        <d v="2024-06-21T00:00:00"/>
        <d v="2024-10-27T00:00:00"/>
        <d v="2025-03-10T00:00:00"/>
        <d v="2025-04-10T00:00:00"/>
        <d v="2024-12-20T00:00:00"/>
        <d v="2024-11-30T00:00:00"/>
        <d v="2024-07-01T00:00:00"/>
        <d v="2025-05-13T00:00:00"/>
        <d v="2024-06-02T00:00:00"/>
        <d v="2026-07-03T00:00:00"/>
        <d v="2025-08-09T00:00:00"/>
        <d v="2024-08-21T00:00:00"/>
        <d v="2025-08-21T00:00:00"/>
        <d v="2024-08-29T00:00:00"/>
        <d v="2025-01-19T00:00:00"/>
        <d v="2024-01-04T00:00:00"/>
        <d v="2024-07-28T00:00:00"/>
        <d v="2025-03-02T00:00:00"/>
        <d v="2025-07-26T00:00:00"/>
        <d v="2025-12-01T00:00:00"/>
        <d v="2025-06-01T00:00:00"/>
        <d v="2024-04-10T00:00:00"/>
        <d v="2025-05-25T00:00:00"/>
        <d v="2024-12-11T00:00:00"/>
        <d v="2025-04-17T00:00:00"/>
        <d v="2024-10-14T00:00:00"/>
        <d v="2025-07-31T00:00:00"/>
        <d v="2024-11-29T00:00:00"/>
        <d v="2025-03-08T00:00:00"/>
        <d v="2024-07-02T00:00:00"/>
        <d v="2025-05-21T00:00:00"/>
        <d v="2025-09-04T00:00:00"/>
        <d v="2024-05-06T00:00:00"/>
        <d v="2025-11-15T00:00:00"/>
        <d v="2025-10-13T00:00:00"/>
        <d v="2024-06-29T00:00:00"/>
        <d v="2024-11-17T00:00:00"/>
        <d v="2024-10-17T00:00:00"/>
        <d v="2025-08-15T00:00:00"/>
        <d v="2025-07-14T00:00:00"/>
        <d v="2024-09-22T00:00:00"/>
        <d v="2025-05-02T00:00:00"/>
        <d v="2025-01-17T00:00:00"/>
        <d v="2024-11-06T00:00:00"/>
        <d v="2025-10-24T00:00:00"/>
        <d v="2025-08-16T00:00:00"/>
        <d v="2025-10-19T00:00:00"/>
        <d v="2025-06-22T00:00:00"/>
        <d v="2025-02-04T00:00:00"/>
        <d v="2024-07-08T00:00:00"/>
        <d v="2024-08-12T00:00:00"/>
        <d v="2025-06-14T00:00:00"/>
        <d v="2026-01-15T00:00:00"/>
        <d v="2025-11-28T00:00:00"/>
        <d v="2025-04-13T00:00:00"/>
        <d v="2025-06-16T00:00:00"/>
        <d v="2025-12-24T00:00:00"/>
        <d v="2025-05-20T00:00:00"/>
        <d v="2024-08-17T00:00:00"/>
        <d v="2025-01-04T00:00:00"/>
        <d v="2025-04-14T00:00:00"/>
        <d v="2025-03-21T00:00:00"/>
        <d v="2024-08-08T00:00:00"/>
        <d v="2025-03-31T00:00:00"/>
        <d v="2024-04-15T00:00:00"/>
      </sharedItems>
      <fieldGroup par="17"/>
    </cacheField>
    <cacheField name="doctor" numFmtId="0">
      <sharedItems/>
    </cacheField>
    <cacheField name="department" numFmtId="0">
      <sharedItems count="4">
        <s v="General"/>
        <s v="Neurology"/>
        <s v="Cardiology"/>
        <s v="Orthopedics"/>
      </sharedItems>
    </cacheField>
    <cacheField name="amount" numFmtId="0">
      <sharedItems containsSemiMixedTypes="0" containsString="0" containsNumber="1" minValue="55.55" maxValue="47888.639999999999"/>
    </cacheField>
    <cacheField name="follow_up_required" numFmtId="0">
      <sharedItems count="2">
        <s v="No"/>
        <s v="Yes"/>
      </sharedItems>
    </cacheField>
    <cacheField name="Months (apppontment_date )" numFmtId="0" databaseField="0">
      <fieldGroup base="6">
        <rangePr groupBy="months" startDate="2025-01-05T00:00:00" endDate="2026-09-03T00:00:00"/>
        <groupItems count="14">
          <s v="&lt;05-01-2025"/>
          <s v="Jan"/>
          <s v="Feb"/>
          <s v="Mar"/>
          <s v="Apr"/>
          <s v="May"/>
          <s v="Jun"/>
          <s v="Jul"/>
          <s v="Aug"/>
          <s v="Sep"/>
          <s v="Oct"/>
          <s v="Nov"/>
          <s v="Dec"/>
          <s v="&gt;03-09-2026"/>
        </groupItems>
      </fieldGroup>
    </cacheField>
    <cacheField name="Quarters (apppontment_date )" numFmtId="0" databaseField="0">
      <fieldGroup base="6">
        <rangePr groupBy="quarters" startDate="2025-01-05T00:00:00" endDate="2026-09-03T00:00:00"/>
        <groupItems count="6">
          <s v="&lt;05-01-2025"/>
          <s v="Qtr1"/>
          <s v="Qtr2"/>
          <s v="Qtr3"/>
          <s v="Qtr4"/>
          <s v="&gt;03-09-2026"/>
        </groupItems>
      </fieldGroup>
    </cacheField>
    <cacheField name="Years (apppontment_date )" numFmtId="0" databaseField="0">
      <fieldGroup base="6">
        <rangePr groupBy="years" startDate="2025-01-05T00:00:00" endDate="2026-09-03T00:00:00"/>
        <groupItems count="4">
          <s v="&lt;05-01-2025"/>
          <s v="2025"/>
          <s v="2026"/>
          <s v="&gt;03-09-2026"/>
        </groupItems>
      </fieldGroup>
    </cacheField>
    <cacheField name="Months (booking_date )" numFmtId="0" databaseField="0">
      <fieldGroup base="7">
        <rangePr groupBy="months" startDate="2024-01-04T00:00:00" endDate="2026-07-04T00:00:00"/>
        <groupItems count="14">
          <s v="&lt;04-01-2024"/>
          <s v="Jan"/>
          <s v="Feb"/>
          <s v="Mar"/>
          <s v="Apr"/>
          <s v="May"/>
          <s v="Jun"/>
          <s v="Jul"/>
          <s v="Aug"/>
          <s v="Sep"/>
          <s v="Oct"/>
          <s v="Nov"/>
          <s v="Dec"/>
          <s v="&gt;04-07-2026"/>
        </groupItems>
      </fieldGroup>
    </cacheField>
    <cacheField name="Quarters (booking_date )" numFmtId="0" databaseField="0">
      <fieldGroup base="7">
        <rangePr groupBy="quarters" startDate="2024-01-04T00:00:00" endDate="2026-07-04T00:00:00"/>
        <groupItems count="6">
          <s v="&lt;04-01-2024"/>
          <s v="Qtr1"/>
          <s v="Qtr2"/>
          <s v="Qtr3"/>
          <s v="Qtr4"/>
          <s v="&gt;04-07-2026"/>
        </groupItems>
      </fieldGroup>
    </cacheField>
    <cacheField name="Years (booking_date )" numFmtId="0" databaseField="0">
      <fieldGroup base="7">
        <rangePr groupBy="years" startDate="2024-01-04T00:00:00" endDate="2026-07-04T00:00:00"/>
        <groupItems count="5">
          <s v="&lt;04-01-2024"/>
          <s v="2024"/>
          <s v="2025"/>
          <s v="2026"/>
          <s v="&gt;04-07-2026"/>
        </groupItems>
      </fieldGroup>
    </cacheField>
  </cacheFields>
  <extLst>
    <ext xmlns:x14="http://schemas.microsoft.com/office/spreadsheetml/2009/9/main" uri="{725AE2AE-9491-48be-B2B4-4EB974FC3084}">
      <x14:pivotCacheDefinition pivotCacheId="15027740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5">
  <r>
    <n v="1072"/>
    <n v="1"/>
    <s v="Anthony Mcpherson"/>
    <n v="47"/>
    <x v="0"/>
    <x v="0"/>
    <x v="0"/>
    <x v="0"/>
    <s v="Karen Parsons"/>
    <x v="0"/>
    <n v="85.76"/>
    <x v="0"/>
  </r>
  <r>
    <n v="1074"/>
    <n v="2"/>
    <s v="Raymond Williams"/>
    <n v="57"/>
    <x v="0"/>
    <x v="1"/>
    <x v="1"/>
    <x v="1"/>
    <s v="James Brooks"/>
    <x v="1"/>
    <n v="374.63"/>
    <x v="0"/>
  </r>
  <r>
    <n v="1041"/>
    <n v="3"/>
    <s v="Dustin Willis"/>
    <n v="54"/>
    <x v="0"/>
    <x v="0"/>
    <x v="2"/>
    <x v="2"/>
    <s v="Jamie Hill"/>
    <x v="0"/>
    <n v="43427.519999999997"/>
    <x v="1"/>
  </r>
  <r>
    <n v="1041"/>
    <n v="4"/>
    <s v="Karen Walker"/>
    <n v="68"/>
    <x v="1"/>
    <x v="0"/>
    <x v="3"/>
    <x v="3"/>
    <s v="Natalie White"/>
    <x v="0"/>
    <n v="7956.48"/>
    <x v="1"/>
  </r>
  <r>
    <n v="1057"/>
    <n v="5"/>
    <s v="Chris Rice"/>
    <n v="61"/>
    <x v="1"/>
    <x v="1"/>
    <x v="4"/>
    <x v="4"/>
    <s v="Amy Olson"/>
    <x v="1"/>
    <n v="277.14"/>
    <x v="0"/>
  </r>
  <r>
    <n v="1059"/>
    <n v="6"/>
    <s v="Andrew Oconnor"/>
    <n v="66"/>
    <x v="1"/>
    <x v="0"/>
    <x v="5"/>
    <x v="5"/>
    <s v="Christina Hill"/>
    <x v="2"/>
    <n v="14694.72"/>
    <x v="1"/>
  </r>
  <r>
    <n v="1086"/>
    <n v="7"/>
    <s v="Dennis Hurley"/>
    <n v="81"/>
    <x v="1"/>
    <x v="1"/>
    <x v="6"/>
    <x v="6"/>
    <s v="Daniel Jacobson"/>
    <x v="0"/>
    <n v="329.3"/>
    <x v="1"/>
  </r>
  <r>
    <n v="1069"/>
    <n v="8"/>
    <s v="Jennifer Aguirre"/>
    <n v="90"/>
    <x v="1"/>
    <x v="1"/>
    <x v="7"/>
    <x v="7"/>
    <s v="Richard Huang"/>
    <x v="1"/>
    <n v="72.73"/>
    <x v="0"/>
  </r>
  <r>
    <n v="1097"/>
    <n v="9"/>
    <s v="Todd Wilson"/>
    <n v="56"/>
    <x v="0"/>
    <x v="1"/>
    <x v="8"/>
    <x v="4"/>
    <s v="Rebecca Harrington"/>
    <x v="3"/>
    <n v="258.64"/>
    <x v="1"/>
  </r>
  <r>
    <n v="1064"/>
    <n v="10"/>
    <s v="Jeremiah Cole"/>
    <n v="88"/>
    <x v="1"/>
    <x v="0"/>
    <x v="9"/>
    <x v="8"/>
    <s v="Louis Turner"/>
    <x v="0"/>
    <n v="19546.560000000001"/>
    <x v="0"/>
  </r>
  <r>
    <n v="1089"/>
    <n v="11"/>
    <s v="Vincent Brown"/>
    <n v="32"/>
    <x v="0"/>
    <x v="0"/>
    <x v="10"/>
    <x v="9"/>
    <s v="Brianna Garcia"/>
    <x v="1"/>
    <n v="236.22"/>
    <x v="0"/>
  </r>
  <r>
    <n v="1086"/>
    <n v="12"/>
    <s v="Tracy Mcdonald"/>
    <n v="34"/>
    <x v="0"/>
    <x v="0"/>
    <x v="4"/>
    <x v="10"/>
    <s v="Daniel Gutierrez"/>
    <x v="2"/>
    <n v="292.23"/>
    <x v="1"/>
  </r>
  <r>
    <n v="1073"/>
    <n v="13"/>
    <s v="Phillip Simpson"/>
    <n v="88"/>
    <x v="1"/>
    <x v="0"/>
    <x v="11"/>
    <x v="11"/>
    <s v="Darren Brooks"/>
    <x v="0"/>
    <n v="4965.12"/>
    <x v="1"/>
  </r>
  <r>
    <n v="1084"/>
    <n v="14"/>
    <s v="Cynthia Hensley"/>
    <n v="86"/>
    <x v="1"/>
    <x v="1"/>
    <x v="12"/>
    <x v="12"/>
    <s v="David Robles"/>
    <x v="1"/>
    <n v="160.38"/>
    <x v="1"/>
  </r>
  <r>
    <n v="1002"/>
    <n v="15"/>
    <s v="Cassandra Gardner"/>
    <n v="42"/>
    <x v="0"/>
    <x v="1"/>
    <x v="7"/>
    <x v="13"/>
    <s v="Gregory Kirk"/>
    <x v="1"/>
    <n v="342.38"/>
    <x v="0"/>
  </r>
  <r>
    <n v="1030"/>
    <n v="16"/>
    <s v="Patrick Saunders"/>
    <n v="18"/>
    <x v="2"/>
    <x v="1"/>
    <x v="13"/>
    <x v="14"/>
    <s v="Casey Wagner"/>
    <x v="3"/>
    <n v="208.91"/>
    <x v="0"/>
  </r>
  <r>
    <n v="1043"/>
    <n v="17"/>
    <s v="Angel Kelly"/>
    <n v="82"/>
    <x v="1"/>
    <x v="0"/>
    <x v="14"/>
    <x v="15"/>
    <s v="Stephanie Taylor"/>
    <x v="0"/>
    <n v="426.86"/>
    <x v="0"/>
  </r>
  <r>
    <n v="1051"/>
    <n v="18"/>
    <s v="Leslie Silva"/>
    <n v="26"/>
    <x v="0"/>
    <x v="1"/>
    <x v="15"/>
    <x v="16"/>
    <s v="Thomas Brandt"/>
    <x v="3"/>
    <n v="32664"/>
    <x v="1"/>
  </r>
  <r>
    <n v="1053"/>
    <n v="19"/>
    <s v="John Yang"/>
    <n v="37"/>
    <x v="0"/>
    <x v="1"/>
    <x v="16"/>
    <x v="17"/>
    <s v="Anthony Jensen"/>
    <x v="3"/>
    <n v="42505.919999999998"/>
    <x v="0"/>
  </r>
  <r>
    <n v="1052"/>
    <n v="20"/>
    <s v="Judy Blair"/>
    <n v="84"/>
    <x v="1"/>
    <x v="0"/>
    <x v="17"/>
    <x v="18"/>
    <s v="Kevin Benton"/>
    <x v="3"/>
    <n v="175.63"/>
    <x v="0"/>
  </r>
  <r>
    <n v="1001"/>
    <n v="21"/>
    <s v="Melanie Gibson"/>
    <n v="50"/>
    <x v="0"/>
    <x v="1"/>
    <x v="18"/>
    <x v="19"/>
    <s v="Alison Stanton"/>
    <x v="3"/>
    <n v="25741.439999999999"/>
    <x v="1"/>
  </r>
  <r>
    <n v="1055"/>
    <n v="22"/>
    <s v="Donna West"/>
    <n v="35"/>
    <x v="0"/>
    <x v="1"/>
    <x v="19"/>
    <x v="20"/>
    <s v="Troy Hill"/>
    <x v="3"/>
    <n v="452.11"/>
    <x v="1"/>
  </r>
  <r>
    <n v="1095"/>
    <n v="23"/>
    <s v="Loretta Richardson"/>
    <n v="29"/>
    <x v="0"/>
    <x v="0"/>
    <x v="2"/>
    <x v="21"/>
    <s v="Shane Jackson"/>
    <x v="1"/>
    <n v="120.34"/>
    <x v="1"/>
  </r>
  <r>
    <n v="1005"/>
    <n v="24"/>
    <s v="Kathleen Jones"/>
    <n v="49"/>
    <x v="0"/>
    <x v="1"/>
    <x v="20"/>
    <x v="22"/>
    <s v="Diana Baker"/>
    <x v="2"/>
    <n v="135.43"/>
    <x v="0"/>
  </r>
  <r>
    <n v="1024"/>
    <n v="25"/>
    <s v="Kari Jackson"/>
    <n v="34"/>
    <x v="0"/>
    <x v="0"/>
    <x v="21"/>
    <x v="23"/>
    <s v="Jeremiah Rose"/>
    <x v="3"/>
    <n v="376.08"/>
    <x v="0"/>
  </r>
  <r>
    <n v="1040"/>
    <n v="26"/>
    <s v="Regina Wilson"/>
    <n v="26"/>
    <x v="0"/>
    <x v="1"/>
    <x v="22"/>
    <x v="24"/>
    <s v="Jenny Zuniga"/>
    <x v="2"/>
    <n v="185.66"/>
    <x v="1"/>
  </r>
  <r>
    <n v="1015"/>
    <n v="27"/>
    <s v="Kathleen Porter"/>
    <n v="66"/>
    <x v="1"/>
    <x v="1"/>
    <x v="23"/>
    <x v="25"/>
    <s v="Christine Calhoun"/>
    <x v="1"/>
    <n v="35237.760000000002"/>
    <x v="0"/>
  </r>
  <r>
    <n v="1053"/>
    <n v="28"/>
    <s v="Cheryl Michael"/>
    <n v="49"/>
    <x v="0"/>
    <x v="1"/>
    <x v="24"/>
    <x v="26"/>
    <s v="Thomas Bennett"/>
    <x v="1"/>
    <n v="393.4"/>
    <x v="1"/>
  </r>
  <r>
    <n v="1068"/>
    <n v="29"/>
    <s v="Vanessa Jones"/>
    <n v="63"/>
    <x v="1"/>
    <x v="0"/>
    <x v="13"/>
    <x v="27"/>
    <s v="Courtney Knight"/>
    <x v="3"/>
    <n v="16248"/>
    <x v="1"/>
  </r>
  <r>
    <n v="1006"/>
    <n v="30"/>
    <s v="Tiffany Burke"/>
    <n v="48"/>
    <x v="0"/>
    <x v="0"/>
    <x v="25"/>
    <x v="28"/>
    <s v="Charles Lopez"/>
    <x v="1"/>
    <n v="26381.759999999998"/>
    <x v="1"/>
  </r>
  <r>
    <n v="1047"/>
    <n v="31"/>
    <s v="Joseph Church"/>
    <n v="87"/>
    <x v="1"/>
    <x v="1"/>
    <x v="26"/>
    <x v="29"/>
    <s v="Ricky Velazquez"/>
    <x v="3"/>
    <n v="68.81"/>
    <x v="1"/>
  </r>
  <r>
    <n v="1095"/>
    <n v="32"/>
    <s v="Heather Jackson"/>
    <n v="58"/>
    <x v="0"/>
    <x v="0"/>
    <x v="27"/>
    <x v="30"/>
    <s v="Todd Silva"/>
    <x v="1"/>
    <n v="365.13"/>
    <x v="0"/>
  </r>
  <r>
    <n v="1009"/>
    <n v="33"/>
    <s v="Adam Sanders"/>
    <n v="63"/>
    <x v="1"/>
    <x v="1"/>
    <x v="28"/>
    <x v="31"/>
    <s v="Patrick Floyd"/>
    <x v="0"/>
    <n v="44829.120000000003"/>
    <x v="1"/>
  </r>
  <r>
    <n v="1078"/>
    <n v="34"/>
    <s v="Edward Perry"/>
    <n v="54"/>
    <x v="0"/>
    <x v="0"/>
    <x v="29"/>
    <x v="32"/>
    <s v="James Miller"/>
    <x v="0"/>
    <n v="484.52"/>
    <x v="0"/>
  </r>
  <r>
    <n v="1018"/>
    <n v="35"/>
    <s v="Matthew Cross"/>
    <n v="78"/>
    <x v="1"/>
    <x v="1"/>
    <x v="4"/>
    <x v="33"/>
    <s v="Connie Wood"/>
    <x v="0"/>
    <n v="14380.8"/>
    <x v="1"/>
  </r>
  <r>
    <n v="1063"/>
    <n v="36"/>
    <s v="Jordan Camacho Jr."/>
    <n v="21"/>
    <x v="2"/>
    <x v="1"/>
    <x v="30"/>
    <x v="34"/>
    <s v="Alexis Carter"/>
    <x v="1"/>
    <n v="17879.04"/>
    <x v="1"/>
  </r>
  <r>
    <n v="1015"/>
    <n v="37"/>
    <s v="Elizabeth Bryant"/>
    <n v="37"/>
    <x v="0"/>
    <x v="0"/>
    <x v="31"/>
    <x v="35"/>
    <s v="Rebecca Kim"/>
    <x v="3"/>
    <n v="425.63"/>
    <x v="0"/>
  </r>
  <r>
    <n v="1070"/>
    <n v="38"/>
    <s v="Clayton Williamson"/>
    <n v="85"/>
    <x v="1"/>
    <x v="1"/>
    <x v="32"/>
    <x v="36"/>
    <s v="Glen Diaz"/>
    <x v="1"/>
    <n v="17809.919999999998"/>
    <x v="0"/>
  </r>
  <r>
    <n v="1022"/>
    <n v="39"/>
    <s v="Katelyn Miller"/>
    <n v="23"/>
    <x v="0"/>
    <x v="0"/>
    <x v="33"/>
    <x v="37"/>
    <s v="Andrea Cruz"/>
    <x v="3"/>
    <n v="36704.639999999999"/>
    <x v="1"/>
  </r>
  <r>
    <n v="1095"/>
    <n v="40"/>
    <s v="Elizabeth Decker"/>
    <n v="86"/>
    <x v="1"/>
    <x v="0"/>
    <x v="34"/>
    <x v="38"/>
    <s v="Brandi Hale"/>
    <x v="3"/>
    <n v="168.18"/>
    <x v="1"/>
  </r>
  <r>
    <n v="1088"/>
    <n v="41"/>
    <s v="James Johnston"/>
    <n v="22"/>
    <x v="2"/>
    <x v="1"/>
    <x v="35"/>
    <x v="39"/>
    <s v="Drew Bartlett"/>
    <x v="0"/>
    <n v="19826.88"/>
    <x v="1"/>
  </r>
  <r>
    <n v="1008"/>
    <n v="42"/>
    <s v="Christine Price"/>
    <n v="69"/>
    <x v="1"/>
    <x v="0"/>
    <x v="21"/>
    <x v="40"/>
    <s v="Susan Brown"/>
    <x v="3"/>
    <n v="24788.16"/>
    <x v="0"/>
  </r>
  <r>
    <n v="1005"/>
    <n v="43"/>
    <s v="Samuel Moore"/>
    <n v="69"/>
    <x v="1"/>
    <x v="1"/>
    <x v="36"/>
    <x v="41"/>
    <s v="Heather Everett"/>
    <x v="0"/>
    <n v="83.09"/>
    <x v="1"/>
  </r>
  <r>
    <n v="1098"/>
    <n v="44"/>
    <s v="Jamie Mcclure"/>
    <n v="35"/>
    <x v="0"/>
    <x v="0"/>
    <x v="37"/>
    <x v="42"/>
    <s v="Katherine Sanders"/>
    <x v="3"/>
    <n v="7716.48"/>
    <x v="1"/>
  </r>
  <r>
    <n v="1074"/>
    <n v="45"/>
    <s v="Luke Price"/>
    <n v="23"/>
    <x v="0"/>
    <x v="0"/>
    <x v="38"/>
    <x v="43"/>
    <s v="Virginia Lang"/>
    <x v="3"/>
    <n v="260.39999999999998"/>
    <x v="1"/>
  </r>
  <r>
    <n v="1097"/>
    <n v="46"/>
    <s v="Luis Rodriguez"/>
    <n v="50"/>
    <x v="0"/>
    <x v="1"/>
    <x v="39"/>
    <x v="44"/>
    <s v="Samantha Bass MD"/>
    <x v="3"/>
    <n v="28279.68"/>
    <x v="1"/>
  </r>
  <r>
    <n v="1047"/>
    <n v="47"/>
    <s v="Pamela Brown"/>
    <n v="40"/>
    <x v="0"/>
    <x v="1"/>
    <x v="40"/>
    <x v="45"/>
    <s v="Melinda Duncan"/>
    <x v="3"/>
    <n v="23724.48"/>
    <x v="1"/>
  </r>
  <r>
    <n v="1044"/>
    <n v="48"/>
    <s v="Justin Caldwell"/>
    <n v="57"/>
    <x v="0"/>
    <x v="0"/>
    <x v="41"/>
    <x v="46"/>
    <s v="Ronnie Miller"/>
    <x v="3"/>
    <n v="383.69"/>
    <x v="0"/>
  </r>
  <r>
    <n v="1100"/>
    <n v="49"/>
    <s v="Adam Torres"/>
    <n v="58"/>
    <x v="0"/>
    <x v="1"/>
    <x v="42"/>
    <x v="47"/>
    <s v="Daniel Le"/>
    <x v="1"/>
    <n v="329.25"/>
    <x v="0"/>
  </r>
  <r>
    <n v="1027"/>
    <n v="50"/>
    <s v="John Hensley"/>
    <n v="35"/>
    <x v="0"/>
    <x v="1"/>
    <x v="43"/>
    <x v="48"/>
    <s v="Paul Tate"/>
    <x v="3"/>
    <n v="289.07"/>
    <x v="1"/>
  </r>
  <r>
    <n v="1099"/>
    <n v="51"/>
    <s v="Ryan Miller"/>
    <n v="31"/>
    <x v="0"/>
    <x v="1"/>
    <x v="44"/>
    <x v="49"/>
    <s v="Alexa Peterson"/>
    <x v="3"/>
    <n v="259.72000000000003"/>
    <x v="1"/>
  </r>
  <r>
    <n v="1040"/>
    <n v="52"/>
    <s v="Kenneth Graham"/>
    <n v="34"/>
    <x v="0"/>
    <x v="0"/>
    <x v="45"/>
    <x v="49"/>
    <s v="Wayne Graham"/>
    <x v="1"/>
    <n v="13662.72"/>
    <x v="0"/>
  </r>
  <r>
    <n v="1031"/>
    <n v="53"/>
    <s v="Nicole Hoffman"/>
    <n v="65"/>
    <x v="1"/>
    <x v="0"/>
    <x v="46"/>
    <x v="50"/>
    <s v="Robert Mitchell"/>
    <x v="0"/>
    <n v="31224"/>
    <x v="0"/>
  </r>
  <r>
    <n v="1089"/>
    <n v="54"/>
    <s v="Amanda Fuller"/>
    <n v="56"/>
    <x v="0"/>
    <x v="1"/>
    <x v="47"/>
    <x v="8"/>
    <s v="Anthony Cruz"/>
    <x v="3"/>
    <n v="33377.279999999999"/>
    <x v="1"/>
  </r>
  <r>
    <n v="1058"/>
    <n v="55"/>
    <s v="Destiny Martin"/>
    <n v="24"/>
    <x v="0"/>
    <x v="0"/>
    <x v="48"/>
    <x v="51"/>
    <s v="Lynn Jones"/>
    <x v="0"/>
    <n v="420.58"/>
    <x v="0"/>
  </r>
  <r>
    <n v="1087"/>
    <n v="56"/>
    <s v="Victoria Gomez"/>
    <n v="72"/>
    <x v="1"/>
    <x v="0"/>
    <x v="49"/>
    <x v="52"/>
    <s v="Nicole Chandler"/>
    <x v="0"/>
    <n v="205.35"/>
    <x v="1"/>
  </r>
  <r>
    <n v="1090"/>
    <n v="57"/>
    <s v="Daniel Rivera"/>
    <n v="63"/>
    <x v="1"/>
    <x v="0"/>
    <x v="50"/>
    <x v="53"/>
    <s v="Morgan Green"/>
    <x v="1"/>
    <n v="155.41999999999999"/>
    <x v="1"/>
  </r>
  <r>
    <n v="1086"/>
    <n v="58"/>
    <s v="Harry Wallace"/>
    <n v="80"/>
    <x v="1"/>
    <x v="0"/>
    <x v="51"/>
    <x v="54"/>
    <s v="Nancy Hernandez"/>
    <x v="3"/>
    <n v="47328"/>
    <x v="1"/>
  </r>
  <r>
    <n v="1047"/>
    <n v="59"/>
    <s v="Alicia Scott"/>
    <n v="39"/>
    <x v="0"/>
    <x v="1"/>
    <x v="52"/>
    <x v="55"/>
    <s v="William Cochran"/>
    <x v="1"/>
    <n v="23342.400000000001"/>
    <x v="0"/>
  </r>
  <r>
    <n v="1073"/>
    <n v="60"/>
    <s v="Russell Taylor"/>
    <n v="38"/>
    <x v="0"/>
    <x v="0"/>
    <x v="53"/>
    <x v="56"/>
    <s v="Breanna Gray"/>
    <x v="3"/>
    <n v="335.07"/>
    <x v="0"/>
  </r>
  <r>
    <n v="1027"/>
    <n v="61"/>
    <s v="Kayla Drake"/>
    <n v="54"/>
    <x v="0"/>
    <x v="0"/>
    <x v="54"/>
    <x v="57"/>
    <s v="Jennifer Long DDS"/>
    <x v="3"/>
    <n v="39558.720000000001"/>
    <x v="0"/>
  </r>
  <r>
    <n v="1037"/>
    <n v="62"/>
    <s v="Karen Carter"/>
    <n v="22"/>
    <x v="2"/>
    <x v="0"/>
    <x v="55"/>
    <x v="58"/>
    <s v="Chase Clark"/>
    <x v="1"/>
    <n v="401.33"/>
    <x v="1"/>
  </r>
  <r>
    <n v="1021"/>
    <n v="63"/>
    <s v="Andrew Baker"/>
    <n v="27"/>
    <x v="0"/>
    <x v="0"/>
    <x v="56"/>
    <x v="59"/>
    <s v="Michael Gillespie"/>
    <x v="0"/>
    <n v="46710.720000000001"/>
    <x v="1"/>
  </r>
  <r>
    <n v="1074"/>
    <n v="64"/>
    <s v="Kelsey Collins"/>
    <n v="19"/>
    <x v="2"/>
    <x v="0"/>
    <x v="57"/>
    <x v="60"/>
    <s v="Gabrielle Collins"/>
    <x v="1"/>
    <n v="43752"/>
    <x v="0"/>
  </r>
  <r>
    <n v="1033"/>
    <n v="65"/>
    <s v="Patricia King"/>
    <n v="68"/>
    <x v="1"/>
    <x v="1"/>
    <x v="58"/>
    <x v="61"/>
    <s v="Jennifer Adams"/>
    <x v="0"/>
    <n v="44933.760000000002"/>
    <x v="1"/>
  </r>
  <r>
    <n v="1087"/>
    <n v="66"/>
    <s v="Troy White"/>
    <n v="80"/>
    <x v="1"/>
    <x v="1"/>
    <x v="59"/>
    <x v="62"/>
    <s v="Cindy Cox"/>
    <x v="1"/>
    <n v="8371.2000000000007"/>
    <x v="0"/>
  </r>
  <r>
    <n v="1043"/>
    <n v="67"/>
    <s v="David Young"/>
    <n v="58"/>
    <x v="0"/>
    <x v="1"/>
    <x v="60"/>
    <x v="63"/>
    <s v="Amy Williams"/>
    <x v="2"/>
    <n v="21789.119999999999"/>
    <x v="0"/>
  </r>
  <r>
    <n v="1020"/>
    <n v="68"/>
    <s v="Tim Flowers"/>
    <n v="31"/>
    <x v="0"/>
    <x v="1"/>
    <x v="61"/>
    <x v="13"/>
    <s v="Kimberly Henson"/>
    <x v="1"/>
    <n v="139.81"/>
    <x v="1"/>
  </r>
  <r>
    <n v="1089"/>
    <n v="69"/>
    <s v="Gregory Garcia"/>
    <n v="73"/>
    <x v="1"/>
    <x v="0"/>
    <x v="62"/>
    <x v="64"/>
    <s v="Megan Jensen"/>
    <x v="2"/>
    <n v="44743.68"/>
    <x v="0"/>
  </r>
  <r>
    <n v="1005"/>
    <n v="70"/>
    <s v="Max Martinez"/>
    <n v="63"/>
    <x v="1"/>
    <x v="1"/>
    <x v="63"/>
    <x v="65"/>
    <s v="Joshua Sellers"/>
    <x v="2"/>
    <n v="352.03"/>
    <x v="1"/>
  </r>
  <r>
    <n v="1031"/>
    <n v="71"/>
    <s v="Paul Hinton"/>
    <n v="49"/>
    <x v="0"/>
    <x v="0"/>
    <x v="64"/>
    <x v="66"/>
    <s v="Lindsey Fitzpatrick"/>
    <x v="1"/>
    <n v="44274.239999999998"/>
    <x v="0"/>
  </r>
  <r>
    <n v="1040"/>
    <n v="72"/>
    <s v="Corey Smith"/>
    <n v="52"/>
    <x v="0"/>
    <x v="1"/>
    <x v="0"/>
    <x v="67"/>
    <s v="Luke Williams"/>
    <x v="2"/>
    <n v="12547.2"/>
    <x v="0"/>
  </r>
  <r>
    <n v="1021"/>
    <n v="73"/>
    <s v="Craig Hunt"/>
    <n v="38"/>
    <x v="0"/>
    <x v="0"/>
    <x v="65"/>
    <x v="68"/>
    <s v="Cynthia Brown"/>
    <x v="1"/>
    <n v="11765.76"/>
    <x v="1"/>
  </r>
  <r>
    <n v="1011"/>
    <n v="74"/>
    <s v="Nathaniel Wood"/>
    <n v="66"/>
    <x v="1"/>
    <x v="1"/>
    <x v="66"/>
    <x v="69"/>
    <s v="Alec Hill"/>
    <x v="0"/>
    <n v="413.21"/>
    <x v="1"/>
  </r>
  <r>
    <n v="1002"/>
    <n v="75"/>
    <s v="Jeffrey Bates"/>
    <n v="87"/>
    <x v="1"/>
    <x v="1"/>
    <x v="67"/>
    <x v="70"/>
    <s v="Lisa Ho"/>
    <x v="2"/>
    <n v="38548.800000000003"/>
    <x v="1"/>
  </r>
  <r>
    <n v="1065"/>
    <n v="76"/>
    <s v="Kevin Johnson"/>
    <n v="18"/>
    <x v="2"/>
    <x v="0"/>
    <x v="68"/>
    <x v="71"/>
    <s v="Lance Smith"/>
    <x v="1"/>
    <n v="283.3"/>
    <x v="0"/>
  </r>
  <r>
    <n v="1025"/>
    <n v="77"/>
    <s v="Kelli Page"/>
    <n v="25"/>
    <x v="0"/>
    <x v="1"/>
    <x v="69"/>
    <x v="72"/>
    <s v="Stephanie Wall"/>
    <x v="3"/>
    <n v="23839.68"/>
    <x v="0"/>
  </r>
  <r>
    <n v="1000"/>
    <n v="78"/>
    <s v="Christopher Singleton"/>
    <n v="81"/>
    <x v="1"/>
    <x v="0"/>
    <x v="70"/>
    <x v="73"/>
    <s v="Brandy Graves"/>
    <x v="0"/>
    <n v="6245.76"/>
    <x v="1"/>
  </r>
  <r>
    <n v="1078"/>
    <n v="79"/>
    <s v="Caroline Reed"/>
    <n v="54"/>
    <x v="0"/>
    <x v="0"/>
    <x v="71"/>
    <x v="74"/>
    <s v="Eric Kelly"/>
    <x v="1"/>
    <n v="433.77"/>
    <x v="0"/>
  </r>
  <r>
    <n v="1038"/>
    <n v="80"/>
    <s v="Jennifer Wells"/>
    <n v="79"/>
    <x v="1"/>
    <x v="0"/>
    <x v="72"/>
    <x v="75"/>
    <s v="David Cole"/>
    <x v="3"/>
    <n v="7952.64"/>
    <x v="0"/>
  </r>
  <r>
    <n v="1048"/>
    <n v="81"/>
    <s v="Malik Robinson"/>
    <n v="77"/>
    <x v="1"/>
    <x v="0"/>
    <x v="73"/>
    <x v="20"/>
    <s v="Amber Little"/>
    <x v="0"/>
    <n v="280.77"/>
    <x v="0"/>
  </r>
  <r>
    <n v="1035"/>
    <n v="82"/>
    <s v="Michael Glenn"/>
    <n v="60"/>
    <x v="1"/>
    <x v="1"/>
    <x v="74"/>
    <x v="76"/>
    <s v="Robert Martinez"/>
    <x v="2"/>
    <n v="9522.24"/>
    <x v="0"/>
  </r>
  <r>
    <n v="1010"/>
    <n v="83"/>
    <s v="Anthony Cortez"/>
    <n v="57"/>
    <x v="0"/>
    <x v="1"/>
    <x v="75"/>
    <x v="1"/>
    <s v="Derrick Cook"/>
    <x v="0"/>
    <n v="21679.68"/>
    <x v="1"/>
  </r>
  <r>
    <n v="1043"/>
    <n v="84"/>
    <s v="Daniel Cole"/>
    <n v="69"/>
    <x v="1"/>
    <x v="1"/>
    <x v="76"/>
    <x v="77"/>
    <s v="Dustin Jones"/>
    <x v="2"/>
    <n v="43979.519999999997"/>
    <x v="1"/>
  </r>
  <r>
    <n v="1015"/>
    <n v="85"/>
    <s v="Brenda Ward"/>
    <n v="43"/>
    <x v="0"/>
    <x v="0"/>
    <x v="77"/>
    <x v="78"/>
    <s v="Tonya Smith"/>
    <x v="1"/>
    <n v="425.67"/>
    <x v="1"/>
  </r>
  <r>
    <n v="1033"/>
    <n v="86"/>
    <s v="Carl Sanchez"/>
    <n v="87"/>
    <x v="1"/>
    <x v="0"/>
    <x v="78"/>
    <x v="79"/>
    <s v="Christina Price"/>
    <x v="3"/>
    <n v="42821.760000000002"/>
    <x v="0"/>
  </r>
  <r>
    <n v="1077"/>
    <n v="87"/>
    <s v="Bradley Fuller"/>
    <n v="83"/>
    <x v="1"/>
    <x v="1"/>
    <x v="72"/>
    <x v="80"/>
    <s v="John Yang"/>
    <x v="0"/>
    <n v="69.97"/>
    <x v="1"/>
  </r>
  <r>
    <n v="1068"/>
    <n v="88"/>
    <s v="Judy Nguyen"/>
    <n v="29"/>
    <x v="0"/>
    <x v="1"/>
    <x v="79"/>
    <x v="81"/>
    <s v="Michelle Ortega"/>
    <x v="0"/>
    <n v="41197.440000000002"/>
    <x v="1"/>
  </r>
  <r>
    <n v="1013"/>
    <n v="89"/>
    <s v="Sandra Murphy"/>
    <n v="25"/>
    <x v="0"/>
    <x v="1"/>
    <x v="65"/>
    <x v="82"/>
    <s v="Shelby Brown"/>
    <x v="3"/>
    <n v="93.12"/>
    <x v="0"/>
  </r>
  <r>
    <n v="1067"/>
    <n v="90"/>
    <s v="Ariel Davis"/>
    <n v="85"/>
    <x v="1"/>
    <x v="1"/>
    <x v="68"/>
    <x v="83"/>
    <s v="Jason Gallagher"/>
    <x v="3"/>
    <n v="85.63"/>
    <x v="1"/>
  </r>
  <r>
    <n v="1050"/>
    <n v="91"/>
    <s v="William Lewis"/>
    <n v="32"/>
    <x v="0"/>
    <x v="1"/>
    <x v="80"/>
    <x v="84"/>
    <s v="Wesley Johnson"/>
    <x v="3"/>
    <n v="361.31"/>
    <x v="1"/>
  </r>
  <r>
    <n v="1089"/>
    <n v="92"/>
    <s v="William Sparks"/>
    <n v="48"/>
    <x v="0"/>
    <x v="1"/>
    <x v="81"/>
    <x v="85"/>
    <s v="Jeffrey Ashley Jr."/>
    <x v="2"/>
    <n v="193.18"/>
    <x v="0"/>
  </r>
  <r>
    <n v="1026"/>
    <n v="93"/>
    <s v="Brandon Martin"/>
    <n v="87"/>
    <x v="1"/>
    <x v="0"/>
    <x v="82"/>
    <x v="22"/>
    <s v="John Miller"/>
    <x v="1"/>
    <n v="42858.239999999998"/>
    <x v="1"/>
  </r>
  <r>
    <n v="1059"/>
    <n v="94"/>
    <s v="Amanda Martinez"/>
    <n v="27"/>
    <x v="0"/>
    <x v="0"/>
    <x v="83"/>
    <x v="86"/>
    <s v="Gary Bowman"/>
    <x v="0"/>
    <n v="15916.8"/>
    <x v="1"/>
  </r>
  <r>
    <n v="1065"/>
    <n v="95"/>
    <s v="Nancy Barry"/>
    <n v="71"/>
    <x v="1"/>
    <x v="0"/>
    <x v="84"/>
    <x v="87"/>
    <s v="Katherine Espinoza"/>
    <x v="2"/>
    <n v="493.59"/>
    <x v="1"/>
  </r>
  <r>
    <n v="1069"/>
    <n v="96"/>
    <s v="Megan Avery"/>
    <n v="73"/>
    <x v="1"/>
    <x v="0"/>
    <x v="85"/>
    <x v="88"/>
    <s v="Michael Arroyo Jr."/>
    <x v="0"/>
    <n v="9262.08"/>
    <x v="1"/>
  </r>
  <r>
    <n v="1076"/>
    <n v="97"/>
    <s v="Judy Avila"/>
    <n v="21"/>
    <x v="2"/>
    <x v="0"/>
    <x v="86"/>
    <x v="89"/>
    <s v="Morgan Ramos"/>
    <x v="3"/>
    <n v="330.43"/>
    <x v="1"/>
  </r>
  <r>
    <n v="1083"/>
    <n v="98"/>
    <s v="Christine Murphy"/>
    <n v="21"/>
    <x v="2"/>
    <x v="0"/>
    <x v="87"/>
    <x v="90"/>
    <s v="Amanda Mendoza"/>
    <x v="2"/>
    <n v="9236.16"/>
    <x v="1"/>
  </r>
  <r>
    <n v="1099"/>
    <n v="99"/>
    <s v="Eric Coffey"/>
    <n v="23"/>
    <x v="0"/>
    <x v="1"/>
    <x v="88"/>
    <x v="91"/>
    <s v="Jeffrey Burns"/>
    <x v="2"/>
    <n v="284.29000000000002"/>
    <x v="0"/>
  </r>
  <r>
    <n v="1018"/>
    <n v="100"/>
    <s v="Chris Wells"/>
    <n v="71"/>
    <x v="1"/>
    <x v="1"/>
    <x v="89"/>
    <x v="92"/>
    <s v="Crystal Medina"/>
    <x v="1"/>
    <n v="132.38"/>
    <x v="1"/>
  </r>
  <r>
    <n v="1067"/>
    <n v="101"/>
    <s v="Dr. John Hernandez"/>
    <n v="33"/>
    <x v="0"/>
    <x v="0"/>
    <x v="90"/>
    <x v="93"/>
    <s v="Michelle Austin"/>
    <x v="0"/>
    <n v="39356.160000000003"/>
    <x v="0"/>
  </r>
  <r>
    <n v="1097"/>
    <n v="102"/>
    <s v="Vanessa Allen"/>
    <n v="52"/>
    <x v="0"/>
    <x v="1"/>
    <x v="91"/>
    <x v="94"/>
    <s v="Amy Chavez"/>
    <x v="1"/>
    <n v="243.94"/>
    <x v="1"/>
  </r>
  <r>
    <n v="1056"/>
    <n v="103"/>
    <s v="Virginia Flores"/>
    <n v="70"/>
    <x v="1"/>
    <x v="0"/>
    <x v="92"/>
    <x v="95"/>
    <s v="Leonard Macias"/>
    <x v="0"/>
    <n v="35023.68"/>
    <x v="1"/>
  </r>
  <r>
    <n v="1078"/>
    <n v="104"/>
    <s v="Mackenzie Walker"/>
    <n v="56"/>
    <x v="0"/>
    <x v="0"/>
    <x v="93"/>
    <x v="96"/>
    <s v="Jenny Wright"/>
    <x v="3"/>
    <n v="32251.200000000001"/>
    <x v="1"/>
  </r>
  <r>
    <n v="1079"/>
    <n v="105"/>
    <s v="Dale Fisher"/>
    <n v="24"/>
    <x v="0"/>
    <x v="1"/>
    <x v="94"/>
    <x v="97"/>
    <s v="Dr. Heidi Johnson"/>
    <x v="2"/>
    <n v="360.39"/>
    <x v="0"/>
  </r>
  <r>
    <n v="1054"/>
    <n v="106"/>
    <s v="Deborah Wagner"/>
    <n v="74"/>
    <x v="1"/>
    <x v="0"/>
    <x v="95"/>
    <x v="98"/>
    <s v="Cesar Sanchez"/>
    <x v="1"/>
    <n v="277.60000000000002"/>
    <x v="0"/>
  </r>
  <r>
    <n v="1026"/>
    <n v="107"/>
    <s v="Christine Vega"/>
    <n v="80"/>
    <x v="1"/>
    <x v="1"/>
    <x v="96"/>
    <x v="26"/>
    <s v="Jordan Cole"/>
    <x v="0"/>
    <n v="301.11"/>
    <x v="1"/>
  </r>
  <r>
    <n v="1060"/>
    <n v="108"/>
    <s v="Haley Taylor"/>
    <n v="51"/>
    <x v="0"/>
    <x v="0"/>
    <x v="97"/>
    <x v="99"/>
    <s v="Christopher Wolfe"/>
    <x v="0"/>
    <n v="433.55"/>
    <x v="1"/>
  </r>
  <r>
    <n v="1022"/>
    <n v="109"/>
    <s v="Linda Nicholson"/>
    <n v="24"/>
    <x v="0"/>
    <x v="0"/>
    <x v="98"/>
    <x v="100"/>
    <s v="Melissa Daniels"/>
    <x v="1"/>
    <n v="40887.360000000001"/>
    <x v="1"/>
  </r>
  <r>
    <n v="1016"/>
    <n v="110"/>
    <s v="Joseph Banks"/>
    <n v="36"/>
    <x v="0"/>
    <x v="0"/>
    <x v="99"/>
    <x v="101"/>
    <s v="Susan Kelley"/>
    <x v="1"/>
    <n v="10425.6"/>
    <x v="0"/>
  </r>
  <r>
    <n v="1031"/>
    <n v="111"/>
    <s v="Jared Parrish"/>
    <n v="42"/>
    <x v="0"/>
    <x v="0"/>
    <x v="26"/>
    <x v="42"/>
    <s v="Wendy Herrera"/>
    <x v="3"/>
    <n v="132.57"/>
    <x v="0"/>
  </r>
  <r>
    <n v="1062"/>
    <n v="112"/>
    <s v="Laura Lopez"/>
    <n v="25"/>
    <x v="0"/>
    <x v="1"/>
    <x v="100"/>
    <x v="102"/>
    <s v="Julie Phillips"/>
    <x v="2"/>
    <n v="464.57"/>
    <x v="0"/>
  </r>
  <r>
    <n v="1056"/>
    <n v="113"/>
    <s v="Joshua Sanford"/>
    <n v="57"/>
    <x v="0"/>
    <x v="0"/>
    <x v="101"/>
    <x v="103"/>
    <s v="Tara Montoya"/>
    <x v="1"/>
    <n v="17914.560000000001"/>
    <x v="1"/>
  </r>
  <r>
    <n v="1058"/>
    <n v="114"/>
    <s v="Mark Bowers"/>
    <n v="19"/>
    <x v="2"/>
    <x v="1"/>
    <x v="102"/>
    <x v="104"/>
    <s v="Antonio Bryant"/>
    <x v="1"/>
    <n v="11202.24"/>
    <x v="1"/>
  </r>
  <r>
    <n v="1068"/>
    <n v="115"/>
    <s v="Robert Torres"/>
    <n v="61"/>
    <x v="1"/>
    <x v="1"/>
    <x v="103"/>
    <x v="105"/>
    <s v="Kyle Phillips"/>
    <x v="1"/>
    <n v="12430.08"/>
    <x v="0"/>
  </r>
  <r>
    <n v="1015"/>
    <n v="116"/>
    <s v="Mason Morgan"/>
    <n v="53"/>
    <x v="0"/>
    <x v="1"/>
    <x v="104"/>
    <x v="47"/>
    <s v="James Cobb"/>
    <x v="0"/>
    <n v="299.02999999999997"/>
    <x v="0"/>
  </r>
  <r>
    <n v="1090"/>
    <n v="117"/>
    <s v="Jeffrey Hart"/>
    <n v="70"/>
    <x v="1"/>
    <x v="0"/>
    <x v="29"/>
    <x v="106"/>
    <s v="Jacob Townsend"/>
    <x v="3"/>
    <n v="459.66"/>
    <x v="1"/>
  </r>
  <r>
    <n v="1070"/>
    <n v="118"/>
    <s v="Donna Jenkins"/>
    <n v="68"/>
    <x v="1"/>
    <x v="0"/>
    <x v="105"/>
    <x v="107"/>
    <s v="Rachel Allen"/>
    <x v="0"/>
    <n v="390.97"/>
    <x v="1"/>
  </r>
  <r>
    <n v="1032"/>
    <n v="119"/>
    <s v="Matthew Cox"/>
    <n v="88"/>
    <x v="1"/>
    <x v="1"/>
    <x v="106"/>
    <x v="108"/>
    <s v="Alexander Horton"/>
    <x v="0"/>
    <n v="100.2"/>
    <x v="0"/>
  </r>
  <r>
    <n v="1098"/>
    <n v="120"/>
    <s v="Zachary Frazier"/>
    <n v="88"/>
    <x v="1"/>
    <x v="0"/>
    <x v="107"/>
    <x v="109"/>
    <s v="Tamara Thompson"/>
    <x v="3"/>
    <n v="46264.32"/>
    <x v="0"/>
  </r>
  <r>
    <n v="1054"/>
    <n v="121"/>
    <s v="Thomas Smith"/>
    <n v="82"/>
    <x v="1"/>
    <x v="1"/>
    <x v="39"/>
    <x v="110"/>
    <s v="Kenneth Turner"/>
    <x v="2"/>
    <n v="392.87"/>
    <x v="1"/>
  </r>
  <r>
    <n v="1090"/>
    <n v="122"/>
    <s v="Autumn Griffin"/>
    <n v="55"/>
    <x v="0"/>
    <x v="0"/>
    <x v="63"/>
    <x v="111"/>
    <s v="Isabel Harris"/>
    <x v="3"/>
    <n v="19431.36"/>
    <x v="0"/>
  </r>
  <r>
    <n v="1027"/>
    <n v="123"/>
    <s v="Adam Shelton"/>
    <n v="83"/>
    <x v="1"/>
    <x v="1"/>
    <x v="49"/>
    <x v="112"/>
    <s v="Mary Thompson"/>
    <x v="1"/>
    <n v="21609.599999999999"/>
    <x v="1"/>
  </r>
  <r>
    <n v="1026"/>
    <n v="124"/>
    <s v="Alyssa Lucas"/>
    <n v="47"/>
    <x v="0"/>
    <x v="0"/>
    <x v="108"/>
    <x v="113"/>
    <s v="Daniel Ryan"/>
    <x v="1"/>
    <n v="38449.919999999998"/>
    <x v="1"/>
  </r>
  <r>
    <n v="1059"/>
    <n v="125"/>
    <s v="Michael White"/>
    <n v="32"/>
    <x v="0"/>
    <x v="1"/>
    <x v="109"/>
    <x v="114"/>
    <s v="Seth Ramirez"/>
    <x v="0"/>
    <n v="28868.16"/>
    <x v="1"/>
  </r>
  <r>
    <n v="1040"/>
    <n v="126"/>
    <s v="Jodi Floyd"/>
    <n v="35"/>
    <x v="0"/>
    <x v="1"/>
    <x v="98"/>
    <x v="115"/>
    <s v="Brett Arnold"/>
    <x v="0"/>
    <n v="458.11"/>
    <x v="0"/>
  </r>
  <r>
    <n v="1003"/>
    <n v="127"/>
    <s v="Janet Gordon"/>
    <n v="41"/>
    <x v="0"/>
    <x v="0"/>
    <x v="110"/>
    <x v="116"/>
    <s v="Michelle Johnson"/>
    <x v="0"/>
    <n v="398.73"/>
    <x v="0"/>
  </r>
  <r>
    <n v="1029"/>
    <n v="128"/>
    <s v="Steve Ramirez"/>
    <n v="30"/>
    <x v="0"/>
    <x v="0"/>
    <x v="31"/>
    <x v="117"/>
    <s v="Michelle Jones"/>
    <x v="3"/>
    <n v="43306.559999999998"/>
    <x v="0"/>
  </r>
  <r>
    <n v="1054"/>
    <n v="129"/>
    <s v="Robert Mason"/>
    <n v="78"/>
    <x v="1"/>
    <x v="1"/>
    <x v="111"/>
    <x v="118"/>
    <s v="Steven Mercer"/>
    <x v="1"/>
    <n v="35555.519999999997"/>
    <x v="0"/>
  </r>
  <r>
    <n v="1006"/>
    <n v="130"/>
    <s v="Rachel Nguyen"/>
    <n v="63"/>
    <x v="1"/>
    <x v="1"/>
    <x v="38"/>
    <x v="119"/>
    <s v="John Wolf"/>
    <x v="1"/>
    <n v="416.85"/>
    <x v="0"/>
  </r>
  <r>
    <n v="1021"/>
    <n v="131"/>
    <s v="Matthew Davis"/>
    <n v="54"/>
    <x v="0"/>
    <x v="1"/>
    <x v="112"/>
    <x v="120"/>
    <s v="Megan Lopez"/>
    <x v="2"/>
    <n v="119.4"/>
    <x v="0"/>
  </r>
  <r>
    <n v="1015"/>
    <n v="132"/>
    <s v="Ashley Daniels"/>
    <n v="50"/>
    <x v="0"/>
    <x v="0"/>
    <x v="113"/>
    <x v="111"/>
    <s v="Robert Davies"/>
    <x v="1"/>
    <n v="6084.48"/>
    <x v="1"/>
  </r>
  <r>
    <n v="1014"/>
    <n v="133"/>
    <s v="Dana Park"/>
    <n v="79"/>
    <x v="1"/>
    <x v="0"/>
    <x v="23"/>
    <x v="121"/>
    <s v="Christopher Garrett"/>
    <x v="1"/>
    <n v="341.27"/>
    <x v="1"/>
  </r>
  <r>
    <n v="1088"/>
    <n v="134"/>
    <s v="Michael Short"/>
    <n v="83"/>
    <x v="1"/>
    <x v="1"/>
    <x v="114"/>
    <x v="122"/>
    <s v="Charles Hess"/>
    <x v="3"/>
    <n v="46386.239999999998"/>
    <x v="1"/>
  </r>
  <r>
    <n v="1011"/>
    <n v="135"/>
    <s v="Allison Mcgrath"/>
    <n v="60"/>
    <x v="1"/>
    <x v="1"/>
    <x v="115"/>
    <x v="123"/>
    <s v="Morgan Mccoy"/>
    <x v="2"/>
    <n v="125.6"/>
    <x v="0"/>
  </r>
  <r>
    <n v="1043"/>
    <n v="136"/>
    <s v="Dustin Perry"/>
    <n v="38"/>
    <x v="0"/>
    <x v="1"/>
    <x v="116"/>
    <x v="10"/>
    <s v="Adam Moore"/>
    <x v="1"/>
    <n v="40724.160000000003"/>
    <x v="0"/>
  </r>
  <r>
    <n v="1080"/>
    <n v="137"/>
    <s v="Rachel Russo"/>
    <n v="40"/>
    <x v="0"/>
    <x v="1"/>
    <x v="117"/>
    <x v="124"/>
    <s v="Christine Wilson"/>
    <x v="3"/>
    <n v="366.15"/>
    <x v="1"/>
  </r>
  <r>
    <n v="1082"/>
    <n v="138"/>
    <s v="Dana Martinez"/>
    <n v="89"/>
    <x v="1"/>
    <x v="1"/>
    <x v="93"/>
    <x v="6"/>
    <s v="Barry Bennett"/>
    <x v="2"/>
    <n v="466.92"/>
    <x v="0"/>
  </r>
  <r>
    <n v="1088"/>
    <n v="139"/>
    <s v="Kimberly Robinson"/>
    <n v="26"/>
    <x v="0"/>
    <x v="0"/>
    <x v="118"/>
    <x v="125"/>
    <s v="Michael Wright"/>
    <x v="2"/>
    <n v="71.67"/>
    <x v="0"/>
  </r>
  <r>
    <n v="1039"/>
    <n v="140"/>
    <s v="Robert Rodriguez"/>
    <n v="61"/>
    <x v="1"/>
    <x v="0"/>
    <x v="44"/>
    <x v="126"/>
    <s v="Stephanie Douglas"/>
    <x v="0"/>
    <n v="264.27"/>
    <x v="0"/>
  </r>
  <r>
    <n v="1016"/>
    <n v="141"/>
    <s v="Rita Joyce"/>
    <n v="78"/>
    <x v="1"/>
    <x v="0"/>
    <x v="119"/>
    <x v="127"/>
    <s v="Diana Neal"/>
    <x v="1"/>
    <n v="92.45"/>
    <x v="1"/>
  </r>
  <r>
    <n v="1098"/>
    <n v="142"/>
    <s v="Kimberly Meyer"/>
    <n v="35"/>
    <x v="0"/>
    <x v="1"/>
    <x v="120"/>
    <x v="128"/>
    <s v="Christopher Perez"/>
    <x v="3"/>
    <n v="441.33"/>
    <x v="0"/>
  </r>
  <r>
    <n v="1025"/>
    <n v="143"/>
    <s v="Kelly Morris"/>
    <n v="40"/>
    <x v="0"/>
    <x v="1"/>
    <x v="121"/>
    <x v="129"/>
    <s v="Matthew Mccann"/>
    <x v="3"/>
    <n v="258.77999999999997"/>
    <x v="0"/>
  </r>
  <r>
    <n v="1012"/>
    <n v="144"/>
    <s v="Kevin Thompson"/>
    <n v="59"/>
    <x v="0"/>
    <x v="0"/>
    <x v="122"/>
    <x v="130"/>
    <s v="Lynn Cruz"/>
    <x v="0"/>
    <n v="156.71"/>
    <x v="1"/>
  </r>
  <r>
    <n v="1038"/>
    <n v="145"/>
    <s v="April Braun"/>
    <n v="57"/>
    <x v="0"/>
    <x v="0"/>
    <x v="66"/>
    <x v="131"/>
    <s v="Jacob Mendoza"/>
    <x v="1"/>
    <n v="110.47"/>
    <x v="1"/>
  </r>
  <r>
    <n v="1031"/>
    <n v="146"/>
    <s v="Randy Austin"/>
    <n v="40"/>
    <x v="0"/>
    <x v="1"/>
    <x v="123"/>
    <x v="132"/>
    <s v="Dr. Deborah Fitzgerald"/>
    <x v="1"/>
    <n v="34975.68"/>
    <x v="0"/>
  </r>
  <r>
    <n v="1006"/>
    <n v="147"/>
    <s v="Anthony Martin"/>
    <n v="54"/>
    <x v="0"/>
    <x v="0"/>
    <x v="124"/>
    <x v="133"/>
    <s v="Alex Richards"/>
    <x v="1"/>
    <n v="119.63"/>
    <x v="0"/>
  </r>
  <r>
    <n v="1021"/>
    <n v="148"/>
    <s v="Lauren Gardner"/>
    <n v="43"/>
    <x v="0"/>
    <x v="0"/>
    <x v="125"/>
    <x v="134"/>
    <s v="Alison Castro"/>
    <x v="1"/>
    <n v="186.4"/>
    <x v="0"/>
  </r>
  <r>
    <n v="1084"/>
    <n v="149"/>
    <s v="Daniel Willis"/>
    <n v="53"/>
    <x v="0"/>
    <x v="0"/>
    <x v="10"/>
    <x v="135"/>
    <s v="Megan Austin"/>
    <x v="1"/>
    <n v="234.99"/>
    <x v="1"/>
  </r>
  <r>
    <n v="1025"/>
    <n v="150"/>
    <s v="Shawn Moore"/>
    <n v="55"/>
    <x v="0"/>
    <x v="0"/>
    <x v="126"/>
    <x v="9"/>
    <s v="Rebecca Ward"/>
    <x v="0"/>
    <n v="316.26"/>
    <x v="0"/>
  </r>
  <r>
    <n v="1015"/>
    <n v="151"/>
    <s v="Sherry Wilson"/>
    <n v="21"/>
    <x v="2"/>
    <x v="0"/>
    <x v="127"/>
    <x v="80"/>
    <s v="Pamela Wiley"/>
    <x v="3"/>
    <n v="129.91"/>
    <x v="1"/>
  </r>
  <r>
    <n v="1015"/>
    <n v="152"/>
    <s v="Nicole Evans"/>
    <n v="86"/>
    <x v="1"/>
    <x v="0"/>
    <x v="128"/>
    <x v="136"/>
    <s v="Ashley Cuevas"/>
    <x v="2"/>
    <n v="459.41"/>
    <x v="1"/>
  </r>
  <r>
    <n v="1065"/>
    <n v="153"/>
    <s v="Samantha Wallace"/>
    <n v="76"/>
    <x v="1"/>
    <x v="1"/>
    <x v="129"/>
    <x v="137"/>
    <s v="Charles Jackson"/>
    <x v="3"/>
    <n v="145.83000000000001"/>
    <x v="1"/>
  </r>
  <r>
    <n v="1050"/>
    <n v="154"/>
    <s v="Tracey Beck"/>
    <n v="81"/>
    <x v="1"/>
    <x v="1"/>
    <x v="79"/>
    <x v="138"/>
    <s v="Logan Cooper"/>
    <x v="2"/>
    <n v="17690.88"/>
    <x v="1"/>
  </r>
  <r>
    <n v="1047"/>
    <n v="155"/>
    <s v="Ray Mcbride"/>
    <n v="87"/>
    <x v="1"/>
    <x v="0"/>
    <x v="130"/>
    <x v="139"/>
    <s v="Natalie Turner"/>
    <x v="0"/>
    <n v="12999.36"/>
    <x v="0"/>
  </r>
  <r>
    <n v="1049"/>
    <n v="156"/>
    <s v="Kelly Mason"/>
    <n v="65"/>
    <x v="1"/>
    <x v="0"/>
    <x v="131"/>
    <x v="140"/>
    <s v="Laura Edwards"/>
    <x v="2"/>
    <n v="19695.36"/>
    <x v="1"/>
  </r>
  <r>
    <n v="1098"/>
    <n v="157"/>
    <s v="Anne Jones DVM"/>
    <n v="48"/>
    <x v="0"/>
    <x v="0"/>
    <x v="132"/>
    <x v="98"/>
    <s v="Linda French"/>
    <x v="0"/>
    <n v="28457.279999999999"/>
    <x v="1"/>
  </r>
  <r>
    <n v="1066"/>
    <n v="158"/>
    <s v="Andrea Mendez"/>
    <n v="33"/>
    <x v="0"/>
    <x v="1"/>
    <x v="133"/>
    <x v="141"/>
    <s v="Joshua Reed"/>
    <x v="0"/>
    <n v="22462.080000000002"/>
    <x v="0"/>
  </r>
  <r>
    <n v="1056"/>
    <n v="159"/>
    <s v="Andrea Murray"/>
    <n v="46"/>
    <x v="0"/>
    <x v="1"/>
    <x v="134"/>
    <x v="142"/>
    <s v="Alexa Martin"/>
    <x v="1"/>
    <n v="435.55"/>
    <x v="0"/>
  </r>
  <r>
    <n v="1033"/>
    <n v="160"/>
    <s v="Michele Green"/>
    <n v="48"/>
    <x v="0"/>
    <x v="0"/>
    <x v="135"/>
    <x v="143"/>
    <s v="Nancy Hernandez"/>
    <x v="3"/>
    <n v="88.58"/>
    <x v="0"/>
  </r>
  <r>
    <n v="1082"/>
    <n v="161"/>
    <s v="Kyle Jones"/>
    <n v="29"/>
    <x v="0"/>
    <x v="1"/>
    <x v="65"/>
    <x v="144"/>
    <s v="Cheryl Mullins"/>
    <x v="1"/>
    <n v="35183.040000000001"/>
    <x v="0"/>
  </r>
  <r>
    <n v="1063"/>
    <n v="162"/>
    <s v="Erin Baker"/>
    <n v="36"/>
    <x v="0"/>
    <x v="1"/>
    <x v="136"/>
    <x v="145"/>
    <s v="Carla King"/>
    <x v="0"/>
    <n v="239.5"/>
    <x v="1"/>
  </r>
  <r>
    <n v="1003"/>
    <n v="163"/>
    <s v="Cheryl Calderon"/>
    <n v="29"/>
    <x v="0"/>
    <x v="0"/>
    <x v="137"/>
    <x v="146"/>
    <s v="Michael Adams"/>
    <x v="3"/>
    <n v="55.55"/>
    <x v="0"/>
  </r>
  <r>
    <n v="1058"/>
    <n v="164"/>
    <s v="Danielle Barrett"/>
    <n v="36"/>
    <x v="0"/>
    <x v="0"/>
    <x v="138"/>
    <x v="147"/>
    <s v="Gregory Griffin"/>
    <x v="0"/>
    <n v="386.16"/>
    <x v="1"/>
  </r>
  <r>
    <n v="1095"/>
    <n v="165"/>
    <s v="James Fox"/>
    <n v="60"/>
    <x v="1"/>
    <x v="0"/>
    <x v="139"/>
    <x v="148"/>
    <s v="Victoria Osborne"/>
    <x v="0"/>
    <n v="204.86"/>
    <x v="1"/>
  </r>
  <r>
    <n v="1036"/>
    <n v="166"/>
    <s v="Evan Price"/>
    <n v="87"/>
    <x v="1"/>
    <x v="1"/>
    <x v="4"/>
    <x v="149"/>
    <s v="Brooke Ramos"/>
    <x v="2"/>
    <n v="35435.519999999997"/>
    <x v="1"/>
  </r>
  <r>
    <n v="1049"/>
    <n v="167"/>
    <s v="Vanessa Graves"/>
    <n v="58"/>
    <x v="0"/>
    <x v="0"/>
    <x v="140"/>
    <x v="150"/>
    <s v="Leslie Smith"/>
    <x v="2"/>
    <n v="474.33"/>
    <x v="1"/>
  </r>
  <r>
    <n v="1084"/>
    <n v="168"/>
    <s v="Logan Sampson"/>
    <n v="64"/>
    <x v="1"/>
    <x v="1"/>
    <x v="141"/>
    <x v="151"/>
    <s v="Tiffany Melendez"/>
    <x v="3"/>
    <n v="154.03"/>
    <x v="1"/>
  </r>
  <r>
    <n v="1058"/>
    <n v="169"/>
    <s v="Alison Wolfe"/>
    <n v="29"/>
    <x v="0"/>
    <x v="1"/>
    <x v="105"/>
    <x v="152"/>
    <s v="Michelle Thomas"/>
    <x v="0"/>
    <n v="46197.120000000003"/>
    <x v="1"/>
  </r>
  <r>
    <n v="1022"/>
    <n v="170"/>
    <s v="Kevin Jackson"/>
    <n v="56"/>
    <x v="0"/>
    <x v="1"/>
    <x v="142"/>
    <x v="140"/>
    <s v="David Love"/>
    <x v="2"/>
    <n v="15106.56"/>
    <x v="0"/>
  </r>
  <r>
    <n v="1039"/>
    <n v="171"/>
    <s v="Emily Miller"/>
    <n v="55"/>
    <x v="0"/>
    <x v="1"/>
    <x v="143"/>
    <x v="153"/>
    <s v="Nicole Bates"/>
    <x v="3"/>
    <n v="41552.639999999999"/>
    <x v="0"/>
  </r>
  <r>
    <n v="1013"/>
    <n v="172"/>
    <s v="Gabriela Pope"/>
    <n v="62"/>
    <x v="1"/>
    <x v="0"/>
    <x v="144"/>
    <x v="154"/>
    <s v="Melissa Brown"/>
    <x v="1"/>
    <n v="39672"/>
    <x v="1"/>
  </r>
  <r>
    <n v="1089"/>
    <n v="173"/>
    <s v="Alexa Landry"/>
    <n v="24"/>
    <x v="0"/>
    <x v="1"/>
    <x v="145"/>
    <x v="155"/>
    <s v="Larry Delgado"/>
    <x v="3"/>
    <n v="7064.64"/>
    <x v="1"/>
  </r>
  <r>
    <n v="1084"/>
    <n v="174"/>
    <s v="Erica Thompson"/>
    <n v="34"/>
    <x v="0"/>
    <x v="0"/>
    <x v="127"/>
    <x v="156"/>
    <s v="Jill Kelley"/>
    <x v="0"/>
    <n v="466.72"/>
    <x v="0"/>
  </r>
  <r>
    <n v="1026"/>
    <n v="175"/>
    <s v="Sandra Russo"/>
    <n v="42"/>
    <x v="0"/>
    <x v="1"/>
    <x v="116"/>
    <x v="16"/>
    <s v="Michael Alexander"/>
    <x v="0"/>
    <n v="15062.4"/>
    <x v="0"/>
  </r>
  <r>
    <n v="1004"/>
    <n v="176"/>
    <s v="Rachel Simmons"/>
    <n v="65"/>
    <x v="1"/>
    <x v="1"/>
    <x v="146"/>
    <x v="109"/>
    <s v="Robert Sanchez"/>
    <x v="2"/>
    <n v="18117.12"/>
    <x v="1"/>
  </r>
  <r>
    <n v="1005"/>
    <n v="177"/>
    <s v="Mr. Phillip Baxter"/>
    <n v="80"/>
    <x v="1"/>
    <x v="1"/>
    <x v="147"/>
    <x v="155"/>
    <s v="Tricia Hunt"/>
    <x v="0"/>
    <n v="30789.119999999999"/>
    <x v="0"/>
  </r>
  <r>
    <n v="1071"/>
    <n v="178"/>
    <s v="Diana Schroeder"/>
    <n v="73"/>
    <x v="1"/>
    <x v="1"/>
    <x v="148"/>
    <x v="157"/>
    <s v="Alexandra Lee"/>
    <x v="1"/>
    <n v="25232.639999999999"/>
    <x v="0"/>
  </r>
  <r>
    <n v="1070"/>
    <n v="179"/>
    <s v="Katelyn Miller"/>
    <n v="78"/>
    <x v="1"/>
    <x v="1"/>
    <x v="149"/>
    <x v="158"/>
    <s v="Justin Chen"/>
    <x v="2"/>
    <n v="274.94"/>
    <x v="0"/>
  </r>
  <r>
    <n v="1053"/>
    <n v="180"/>
    <s v="Jack Sutton"/>
    <n v="76"/>
    <x v="1"/>
    <x v="0"/>
    <x v="150"/>
    <x v="159"/>
    <s v="Paul Giles"/>
    <x v="0"/>
    <n v="35973.120000000003"/>
    <x v="1"/>
  </r>
  <r>
    <n v="1013"/>
    <n v="181"/>
    <s v="Rachel Carlson"/>
    <n v="27"/>
    <x v="0"/>
    <x v="0"/>
    <x v="132"/>
    <x v="160"/>
    <s v="Paul Martinez"/>
    <x v="1"/>
    <n v="36421.440000000002"/>
    <x v="1"/>
  </r>
  <r>
    <n v="1027"/>
    <n v="182"/>
    <s v="Miss Stacey Weaver"/>
    <n v="75"/>
    <x v="1"/>
    <x v="1"/>
    <x v="151"/>
    <x v="161"/>
    <s v="Rachel Wilson"/>
    <x v="3"/>
    <n v="442.41"/>
    <x v="0"/>
  </r>
  <r>
    <n v="1010"/>
    <n v="183"/>
    <s v="Erica Robbins"/>
    <n v="68"/>
    <x v="1"/>
    <x v="0"/>
    <x v="152"/>
    <x v="162"/>
    <s v="Matthew Carlson"/>
    <x v="0"/>
    <n v="38457.599999999999"/>
    <x v="1"/>
  </r>
  <r>
    <n v="1023"/>
    <n v="184"/>
    <s v="Daniel Valenzuela"/>
    <n v="45"/>
    <x v="0"/>
    <x v="1"/>
    <x v="153"/>
    <x v="163"/>
    <s v="Karen Brewer"/>
    <x v="2"/>
    <n v="23540.16"/>
    <x v="1"/>
  </r>
  <r>
    <n v="1066"/>
    <n v="185"/>
    <s v="Alexander Jones"/>
    <n v="85"/>
    <x v="1"/>
    <x v="0"/>
    <x v="29"/>
    <x v="164"/>
    <s v="Mary Ward"/>
    <x v="0"/>
    <n v="498.26"/>
    <x v="1"/>
  </r>
  <r>
    <n v="1038"/>
    <n v="186"/>
    <s v="Robert Myers DDS"/>
    <n v="72"/>
    <x v="1"/>
    <x v="0"/>
    <x v="117"/>
    <x v="110"/>
    <s v="Luis Smith"/>
    <x v="1"/>
    <n v="499.72"/>
    <x v="1"/>
  </r>
  <r>
    <n v="1082"/>
    <n v="187"/>
    <s v="Jenna Williams"/>
    <n v="67"/>
    <x v="1"/>
    <x v="0"/>
    <x v="31"/>
    <x v="132"/>
    <s v="Ryan Mitchell"/>
    <x v="0"/>
    <n v="14335.68"/>
    <x v="1"/>
  </r>
  <r>
    <n v="1085"/>
    <n v="188"/>
    <s v="Jamie Nixon"/>
    <n v="69"/>
    <x v="1"/>
    <x v="1"/>
    <x v="154"/>
    <x v="165"/>
    <s v="Scott Allen"/>
    <x v="0"/>
    <n v="39630.720000000001"/>
    <x v="0"/>
  </r>
  <r>
    <n v="1089"/>
    <n v="189"/>
    <s v="Thomas Banks"/>
    <n v="80"/>
    <x v="1"/>
    <x v="1"/>
    <x v="155"/>
    <x v="166"/>
    <s v="George Stevens"/>
    <x v="2"/>
    <n v="451.66"/>
    <x v="0"/>
  </r>
  <r>
    <n v="1030"/>
    <n v="190"/>
    <s v="Lori Montgomery"/>
    <n v="18"/>
    <x v="2"/>
    <x v="1"/>
    <x v="156"/>
    <x v="167"/>
    <s v="Christy Fisher"/>
    <x v="3"/>
    <n v="11243.52"/>
    <x v="1"/>
  </r>
  <r>
    <n v="1088"/>
    <n v="191"/>
    <s v="Sarah Fuller"/>
    <n v="80"/>
    <x v="1"/>
    <x v="1"/>
    <x v="157"/>
    <x v="43"/>
    <s v="Cody Ortega"/>
    <x v="2"/>
    <n v="460.11"/>
    <x v="1"/>
  </r>
  <r>
    <n v="1081"/>
    <n v="192"/>
    <s v="Brandy Navarro"/>
    <n v="27"/>
    <x v="0"/>
    <x v="0"/>
    <x v="158"/>
    <x v="168"/>
    <s v="Matthew Nichols"/>
    <x v="3"/>
    <n v="288.43"/>
    <x v="1"/>
  </r>
  <r>
    <n v="1034"/>
    <n v="193"/>
    <s v="Thomas Nash"/>
    <n v="75"/>
    <x v="1"/>
    <x v="0"/>
    <x v="159"/>
    <x v="169"/>
    <s v="Justin Flores"/>
    <x v="2"/>
    <n v="180.6"/>
    <x v="1"/>
  </r>
  <r>
    <n v="1027"/>
    <n v="194"/>
    <s v="Michael Sullivan"/>
    <n v="63"/>
    <x v="1"/>
    <x v="1"/>
    <x v="160"/>
    <x v="170"/>
    <s v="Angela Thomas"/>
    <x v="3"/>
    <n v="318.88"/>
    <x v="1"/>
  </r>
  <r>
    <n v="1067"/>
    <n v="195"/>
    <s v="Thomas Smith"/>
    <n v="54"/>
    <x v="0"/>
    <x v="0"/>
    <x v="161"/>
    <x v="171"/>
    <s v="Brandon Garcia"/>
    <x v="2"/>
    <n v="10455.36"/>
    <x v="0"/>
  </r>
  <r>
    <n v="1058"/>
    <n v="196"/>
    <s v="Penny West"/>
    <n v="84"/>
    <x v="1"/>
    <x v="0"/>
    <x v="162"/>
    <x v="172"/>
    <s v="Heather Ortiz"/>
    <x v="1"/>
    <n v="38070.720000000001"/>
    <x v="1"/>
  </r>
  <r>
    <n v="1080"/>
    <n v="197"/>
    <s v="Michelle Mcclain"/>
    <n v="45"/>
    <x v="0"/>
    <x v="0"/>
    <x v="5"/>
    <x v="173"/>
    <s v="Mrs. Amy Miller"/>
    <x v="2"/>
    <n v="185.29"/>
    <x v="0"/>
  </r>
  <r>
    <n v="1026"/>
    <n v="198"/>
    <s v="Jennifer Davis"/>
    <n v="47"/>
    <x v="0"/>
    <x v="0"/>
    <x v="131"/>
    <x v="17"/>
    <s v="Michael Bryant"/>
    <x v="2"/>
    <n v="20725.439999999999"/>
    <x v="0"/>
  </r>
  <r>
    <n v="1036"/>
    <n v="199"/>
    <s v="Henry Snyder"/>
    <n v="59"/>
    <x v="0"/>
    <x v="1"/>
    <x v="163"/>
    <x v="174"/>
    <s v="Theresa Simon"/>
    <x v="2"/>
    <n v="27402.240000000002"/>
    <x v="1"/>
  </r>
  <r>
    <n v="1017"/>
    <n v="200"/>
    <s v="Sabrina Wade"/>
    <n v="34"/>
    <x v="0"/>
    <x v="0"/>
    <x v="164"/>
    <x v="175"/>
    <s v="Randy Vargas"/>
    <x v="0"/>
    <n v="202.92"/>
    <x v="0"/>
  </r>
  <r>
    <n v="1059"/>
    <n v="201"/>
    <s v="Kayla Mccormick"/>
    <n v="84"/>
    <x v="1"/>
    <x v="0"/>
    <x v="154"/>
    <x v="70"/>
    <s v="Robert Burton"/>
    <x v="1"/>
    <n v="23489.279999999999"/>
    <x v="1"/>
  </r>
  <r>
    <n v="1012"/>
    <n v="202"/>
    <s v="Mark Reeves"/>
    <n v="30"/>
    <x v="0"/>
    <x v="0"/>
    <x v="165"/>
    <x v="176"/>
    <s v="Mark Hill"/>
    <x v="2"/>
    <n v="6787.2"/>
    <x v="1"/>
  </r>
  <r>
    <n v="1082"/>
    <n v="203"/>
    <s v="Melissa Richmond"/>
    <n v="33"/>
    <x v="0"/>
    <x v="1"/>
    <x v="166"/>
    <x v="73"/>
    <s v="Jasmin Holmes"/>
    <x v="1"/>
    <n v="37224"/>
    <x v="1"/>
  </r>
  <r>
    <n v="1009"/>
    <n v="204"/>
    <s v="Linda Murphy"/>
    <n v="63"/>
    <x v="1"/>
    <x v="1"/>
    <x v="131"/>
    <x v="177"/>
    <s v="Margaret Montoya"/>
    <x v="2"/>
    <n v="176.68"/>
    <x v="0"/>
  </r>
  <r>
    <n v="1091"/>
    <n v="205"/>
    <s v="Michael Gonzales"/>
    <n v="86"/>
    <x v="1"/>
    <x v="1"/>
    <x v="167"/>
    <x v="178"/>
    <s v="Richard Torres"/>
    <x v="0"/>
    <n v="491.64"/>
    <x v="0"/>
  </r>
  <r>
    <n v="1038"/>
    <n v="206"/>
    <s v="Samantha Garner"/>
    <n v="54"/>
    <x v="0"/>
    <x v="0"/>
    <x v="142"/>
    <x v="39"/>
    <s v="Jacob Hobbs"/>
    <x v="0"/>
    <n v="31287.360000000001"/>
    <x v="0"/>
  </r>
  <r>
    <n v="1053"/>
    <n v="207"/>
    <s v="Jennifer Schwartz"/>
    <n v="30"/>
    <x v="0"/>
    <x v="0"/>
    <x v="141"/>
    <x v="179"/>
    <s v="Tamara Smith"/>
    <x v="2"/>
    <n v="26900.16"/>
    <x v="1"/>
  </r>
  <r>
    <n v="1043"/>
    <n v="208"/>
    <s v="William Conley"/>
    <n v="28"/>
    <x v="0"/>
    <x v="0"/>
    <x v="168"/>
    <x v="180"/>
    <s v="Thomas Wallace"/>
    <x v="0"/>
    <n v="88.29"/>
    <x v="0"/>
  </r>
  <r>
    <n v="1021"/>
    <n v="209"/>
    <s v="Kelly Ayers"/>
    <n v="53"/>
    <x v="0"/>
    <x v="1"/>
    <x v="48"/>
    <x v="181"/>
    <s v="Justin Taylor"/>
    <x v="1"/>
    <n v="42600"/>
    <x v="1"/>
  </r>
  <r>
    <n v="1059"/>
    <n v="210"/>
    <s v="James Perry"/>
    <n v="57"/>
    <x v="0"/>
    <x v="1"/>
    <x v="117"/>
    <x v="182"/>
    <s v="Leonard Campbell"/>
    <x v="2"/>
    <n v="37018.559999999998"/>
    <x v="1"/>
  </r>
  <r>
    <n v="1038"/>
    <n v="211"/>
    <s v="Steven Phelps"/>
    <n v="19"/>
    <x v="2"/>
    <x v="0"/>
    <x v="72"/>
    <x v="20"/>
    <s v="Darren Williams"/>
    <x v="2"/>
    <n v="350.5"/>
    <x v="1"/>
  </r>
  <r>
    <n v="1065"/>
    <n v="212"/>
    <s v="Mark Daniels"/>
    <n v="75"/>
    <x v="1"/>
    <x v="1"/>
    <x v="169"/>
    <x v="183"/>
    <s v="Kimberly Pierce"/>
    <x v="3"/>
    <n v="24533.759999999998"/>
    <x v="1"/>
  </r>
  <r>
    <n v="1081"/>
    <n v="213"/>
    <s v="Elaine Williams"/>
    <n v="42"/>
    <x v="0"/>
    <x v="0"/>
    <x v="170"/>
    <x v="40"/>
    <s v="Daniel Carlson"/>
    <x v="2"/>
    <n v="189.02"/>
    <x v="1"/>
  </r>
  <r>
    <n v="1093"/>
    <n v="214"/>
    <s v="Ryan Kennedy"/>
    <n v="81"/>
    <x v="1"/>
    <x v="0"/>
    <x v="171"/>
    <x v="184"/>
    <s v="Scott Shannon"/>
    <x v="0"/>
    <n v="47104.32"/>
    <x v="1"/>
  </r>
  <r>
    <n v="1071"/>
    <n v="215"/>
    <s v="Jennifer Jackson"/>
    <n v="80"/>
    <x v="1"/>
    <x v="0"/>
    <x v="71"/>
    <x v="185"/>
    <s v="Frank Harrell"/>
    <x v="1"/>
    <n v="10141.44"/>
    <x v="0"/>
  </r>
  <r>
    <n v="1090"/>
    <n v="216"/>
    <s v="Brittany Wall"/>
    <n v="37"/>
    <x v="0"/>
    <x v="1"/>
    <x v="55"/>
    <x v="186"/>
    <s v="Willie Dean"/>
    <x v="0"/>
    <n v="77.2"/>
    <x v="0"/>
  </r>
  <r>
    <n v="1092"/>
    <n v="217"/>
    <s v="Sharon Lopez"/>
    <n v="79"/>
    <x v="1"/>
    <x v="1"/>
    <x v="172"/>
    <x v="187"/>
    <s v="Yolanda Richardson"/>
    <x v="1"/>
    <n v="46806.720000000001"/>
    <x v="0"/>
  </r>
  <r>
    <n v="1083"/>
    <n v="218"/>
    <s v="Timothy Ramirez"/>
    <n v="56"/>
    <x v="0"/>
    <x v="0"/>
    <x v="173"/>
    <x v="188"/>
    <s v="Tiffany Shepherd"/>
    <x v="2"/>
    <n v="412.44"/>
    <x v="0"/>
  </r>
  <r>
    <n v="1018"/>
    <n v="219"/>
    <s v="Mary Garcia"/>
    <n v="54"/>
    <x v="0"/>
    <x v="1"/>
    <x v="73"/>
    <x v="189"/>
    <s v="Brianna Ortega"/>
    <x v="0"/>
    <n v="24242.880000000001"/>
    <x v="1"/>
  </r>
  <r>
    <n v="1084"/>
    <n v="220"/>
    <s v="Monica Mcclure"/>
    <n v="84"/>
    <x v="1"/>
    <x v="0"/>
    <x v="19"/>
    <x v="190"/>
    <s v="Martha Byrd"/>
    <x v="0"/>
    <n v="347.94"/>
    <x v="1"/>
  </r>
  <r>
    <n v="1083"/>
    <n v="221"/>
    <s v="Melissa Wagner"/>
    <n v="59"/>
    <x v="0"/>
    <x v="1"/>
    <x v="174"/>
    <x v="101"/>
    <s v="Megan Garcia"/>
    <x v="1"/>
    <n v="219.5"/>
    <x v="1"/>
  </r>
  <r>
    <n v="1080"/>
    <n v="222"/>
    <s v="Cynthia Jones"/>
    <n v="38"/>
    <x v="0"/>
    <x v="1"/>
    <x v="175"/>
    <x v="62"/>
    <s v="Eugene Little"/>
    <x v="3"/>
    <n v="318.14999999999998"/>
    <x v="1"/>
  </r>
  <r>
    <n v="1089"/>
    <n v="223"/>
    <s v="Henry Quinn"/>
    <n v="23"/>
    <x v="0"/>
    <x v="0"/>
    <x v="176"/>
    <x v="191"/>
    <s v="Audrey Hansen"/>
    <x v="0"/>
    <n v="33600"/>
    <x v="0"/>
  </r>
  <r>
    <n v="1070"/>
    <n v="224"/>
    <s v="Jake Robinson"/>
    <n v="62"/>
    <x v="1"/>
    <x v="0"/>
    <x v="172"/>
    <x v="158"/>
    <s v="Nathan Quinn"/>
    <x v="2"/>
    <n v="178.28"/>
    <x v="1"/>
  </r>
  <r>
    <n v="1093"/>
    <n v="225"/>
    <s v="Kimberly Morrison"/>
    <n v="34"/>
    <x v="0"/>
    <x v="0"/>
    <x v="118"/>
    <x v="192"/>
    <s v="Brian Young"/>
    <x v="3"/>
    <n v="23837.759999999998"/>
    <x v="1"/>
  </r>
  <r>
    <n v="1088"/>
    <n v="226"/>
    <s v="Ricardo White"/>
    <n v="35"/>
    <x v="0"/>
    <x v="1"/>
    <x v="177"/>
    <x v="193"/>
    <s v="Tanya Barker"/>
    <x v="2"/>
    <n v="352.72"/>
    <x v="1"/>
  </r>
  <r>
    <n v="1073"/>
    <n v="227"/>
    <s v="Abigail Holt"/>
    <n v="50"/>
    <x v="0"/>
    <x v="0"/>
    <x v="13"/>
    <x v="194"/>
    <s v="Jacob Mays"/>
    <x v="1"/>
    <n v="33003.839999999997"/>
    <x v="1"/>
  </r>
  <r>
    <n v="1031"/>
    <n v="228"/>
    <s v="Katherine Rogers"/>
    <n v="50"/>
    <x v="0"/>
    <x v="0"/>
    <x v="178"/>
    <x v="195"/>
    <s v="Morgan Edwards"/>
    <x v="3"/>
    <n v="41396.160000000003"/>
    <x v="1"/>
  </r>
  <r>
    <n v="1041"/>
    <n v="229"/>
    <s v="Troy Marshall"/>
    <n v="67"/>
    <x v="1"/>
    <x v="0"/>
    <x v="179"/>
    <x v="196"/>
    <s v="Benjamin Robinson"/>
    <x v="3"/>
    <n v="45905.279999999999"/>
    <x v="0"/>
  </r>
  <r>
    <n v="1003"/>
    <n v="230"/>
    <s v="Corey Turner"/>
    <n v="27"/>
    <x v="0"/>
    <x v="0"/>
    <x v="159"/>
    <x v="163"/>
    <s v="Heidi Baker"/>
    <x v="3"/>
    <n v="435.1"/>
    <x v="1"/>
  </r>
  <r>
    <n v="1017"/>
    <n v="231"/>
    <s v="Jeffrey Martinez"/>
    <n v="86"/>
    <x v="1"/>
    <x v="0"/>
    <x v="180"/>
    <x v="197"/>
    <s v="Michael Ross"/>
    <x v="1"/>
    <n v="45052.800000000003"/>
    <x v="0"/>
  </r>
  <r>
    <n v="1024"/>
    <n v="232"/>
    <s v="Pamela Dalton"/>
    <n v="18"/>
    <x v="2"/>
    <x v="1"/>
    <x v="100"/>
    <x v="198"/>
    <s v="Christopher Jones"/>
    <x v="3"/>
    <n v="466.56"/>
    <x v="0"/>
  </r>
  <r>
    <n v="1058"/>
    <n v="233"/>
    <s v="Rebecca Parrish"/>
    <n v="59"/>
    <x v="0"/>
    <x v="0"/>
    <x v="170"/>
    <x v="45"/>
    <s v="Jordan Shelton"/>
    <x v="3"/>
    <n v="15697.92"/>
    <x v="0"/>
  </r>
  <r>
    <n v="1068"/>
    <n v="234"/>
    <s v="Dominic Bell"/>
    <n v="37"/>
    <x v="0"/>
    <x v="1"/>
    <x v="173"/>
    <x v="199"/>
    <s v="April Castillo"/>
    <x v="2"/>
    <n v="356.13"/>
    <x v="1"/>
  </r>
  <r>
    <n v="1013"/>
    <n v="235"/>
    <s v="Gregory Arellano"/>
    <n v="71"/>
    <x v="1"/>
    <x v="0"/>
    <x v="26"/>
    <x v="200"/>
    <s v="Natalie Smith"/>
    <x v="3"/>
    <n v="38459.519999999997"/>
    <x v="0"/>
  </r>
  <r>
    <n v="1009"/>
    <n v="236"/>
    <s v="Laura Chan"/>
    <n v="49"/>
    <x v="0"/>
    <x v="0"/>
    <x v="131"/>
    <x v="201"/>
    <s v="Reginald Miller"/>
    <x v="2"/>
    <n v="17081.28"/>
    <x v="0"/>
  </r>
  <r>
    <n v="1072"/>
    <n v="237"/>
    <s v="Ronald Gonzalez"/>
    <n v="30"/>
    <x v="0"/>
    <x v="0"/>
    <x v="116"/>
    <x v="202"/>
    <s v="Crystal Mueller"/>
    <x v="0"/>
    <n v="222.37"/>
    <x v="1"/>
  </r>
  <r>
    <n v="1098"/>
    <n v="238"/>
    <s v="Allison Ramos"/>
    <n v="75"/>
    <x v="1"/>
    <x v="0"/>
    <x v="50"/>
    <x v="6"/>
    <s v="Chase Ford"/>
    <x v="1"/>
    <n v="46291.199999999997"/>
    <x v="1"/>
  </r>
  <r>
    <n v="1072"/>
    <n v="239"/>
    <s v="Christopher Brown"/>
    <n v="49"/>
    <x v="0"/>
    <x v="0"/>
    <x v="81"/>
    <x v="150"/>
    <s v="Henry Moore"/>
    <x v="2"/>
    <n v="92.08"/>
    <x v="0"/>
  </r>
  <r>
    <n v="1061"/>
    <n v="240"/>
    <s v="Matthew Herrera"/>
    <n v="74"/>
    <x v="1"/>
    <x v="0"/>
    <x v="181"/>
    <x v="203"/>
    <s v="Cody Murray"/>
    <x v="0"/>
    <n v="473.48"/>
    <x v="1"/>
  </r>
  <r>
    <n v="1003"/>
    <n v="241"/>
    <s v="Cassandra Cain"/>
    <n v="64"/>
    <x v="1"/>
    <x v="0"/>
    <x v="182"/>
    <x v="204"/>
    <s v="Jessica Williams"/>
    <x v="2"/>
    <n v="79.59"/>
    <x v="0"/>
  </r>
  <r>
    <n v="1056"/>
    <n v="242"/>
    <s v="Erik Martinez"/>
    <n v="24"/>
    <x v="0"/>
    <x v="1"/>
    <x v="58"/>
    <x v="195"/>
    <s v="Jennifer Carroll"/>
    <x v="2"/>
    <n v="9376.32"/>
    <x v="1"/>
  </r>
  <r>
    <n v="1054"/>
    <n v="243"/>
    <s v="Rebecca Carey DDS"/>
    <n v="57"/>
    <x v="0"/>
    <x v="1"/>
    <x v="183"/>
    <x v="144"/>
    <s v="David Carter"/>
    <x v="1"/>
    <n v="16232.64"/>
    <x v="0"/>
  </r>
  <r>
    <n v="1059"/>
    <n v="244"/>
    <s v="Heidi Alvarez"/>
    <n v="88"/>
    <x v="1"/>
    <x v="1"/>
    <x v="184"/>
    <x v="34"/>
    <s v="Jeremy Wilson"/>
    <x v="0"/>
    <n v="94.19"/>
    <x v="1"/>
  </r>
  <r>
    <n v="1086"/>
    <n v="245"/>
    <s v="Bryan Fritz"/>
    <n v="86"/>
    <x v="1"/>
    <x v="0"/>
    <x v="185"/>
    <x v="73"/>
    <s v="Kelsey Hernandez"/>
    <x v="3"/>
    <n v="32489.279999999999"/>
    <x v="1"/>
  </r>
  <r>
    <n v="1050"/>
    <n v="246"/>
    <s v="Donald Reed"/>
    <n v="60"/>
    <x v="1"/>
    <x v="0"/>
    <x v="159"/>
    <x v="113"/>
    <s v="Danny Webster"/>
    <x v="0"/>
    <n v="43551.360000000001"/>
    <x v="1"/>
  </r>
  <r>
    <n v="1014"/>
    <n v="247"/>
    <s v="Alexis Moody"/>
    <n v="81"/>
    <x v="1"/>
    <x v="0"/>
    <x v="186"/>
    <x v="133"/>
    <s v="Jennifer Reyes"/>
    <x v="3"/>
    <n v="201.8"/>
    <x v="1"/>
  </r>
  <r>
    <n v="1059"/>
    <n v="248"/>
    <s v="Carol Williams"/>
    <n v="75"/>
    <x v="1"/>
    <x v="0"/>
    <x v="187"/>
    <x v="205"/>
    <s v="Joshua Gomez"/>
    <x v="2"/>
    <n v="12393.6"/>
    <x v="1"/>
  </r>
  <r>
    <n v="1092"/>
    <n v="249"/>
    <s v="Tracie Jefferson"/>
    <n v="74"/>
    <x v="1"/>
    <x v="0"/>
    <x v="147"/>
    <x v="39"/>
    <s v="Margaret Robinson"/>
    <x v="0"/>
    <n v="14738.88"/>
    <x v="1"/>
  </r>
  <r>
    <n v="1010"/>
    <n v="250"/>
    <s v="Aaron Young"/>
    <n v="60"/>
    <x v="1"/>
    <x v="1"/>
    <x v="188"/>
    <x v="206"/>
    <s v="Wendy Cochran"/>
    <x v="2"/>
    <n v="222.33"/>
    <x v="1"/>
  </r>
  <r>
    <n v="1032"/>
    <n v="251"/>
    <s v="Terry Dennis"/>
    <n v="28"/>
    <x v="0"/>
    <x v="1"/>
    <x v="189"/>
    <x v="207"/>
    <s v="Kelsey Scott"/>
    <x v="1"/>
    <n v="403.78"/>
    <x v="1"/>
  </r>
  <r>
    <n v="1020"/>
    <n v="252"/>
    <s v="Michael Newman MD"/>
    <n v="45"/>
    <x v="0"/>
    <x v="0"/>
    <x v="53"/>
    <x v="208"/>
    <s v="Ronald Santos"/>
    <x v="0"/>
    <n v="32948.160000000003"/>
    <x v="0"/>
  </r>
  <r>
    <n v="1017"/>
    <n v="253"/>
    <s v="Nicole Green"/>
    <n v="55"/>
    <x v="0"/>
    <x v="1"/>
    <x v="190"/>
    <x v="9"/>
    <s v="Charles Owens"/>
    <x v="0"/>
    <n v="365.21"/>
    <x v="0"/>
  </r>
  <r>
    <n v="1084"/>
    <n v="254"/>
    <s v="Robin Donovan"/>
    <n v="69"/>
    <x v="1"/>
    <x v="1"/>
    <x v="93"/>
    <x v="209"/>
    <s v="Brian Brown"/>
    <x v="0"/>
    <n v="15703.68"/>
    <x v="0"/>
  </r>
  <r>
    <n v="1005"/>
    <n v="255"/>
    <s v="Bryan Meyers"/>
    <n v="84"/>
    <x v="1"/>
    <x v="0"/>
    <x v="132"/>
    <x v="193"/>
    <s v="Michael Trevino"/>
    <x v="2"/>
    <n v="499.36"/>
    <x v="0"/>
  </r>
  <r>
    <n v="1011"/>
    <n v="256"/>
    <s v="Deanna Manning"/>
    <n v="50"/>
    <x v="0"/>
    <x v="0"/>
    <x v="191"/>
    <x v="210"/>
    <s v="Austin Stout"/>
    <x v="2"/>
    <n v="101.37"/>
    <x v="0"/>
  </r>
  <r>
    <n v="1090"/>
    <n v="257"/>
    <s v="Steven Henderson"/>
    <n v="53"/>
    <x v="0"/>
    <x v="1"/>
    <x v="95"/>
    <x v="211"/>
    <s v="Nicole Martinez"/>
    <x v="3"/>
    <n v="163.4"/>
    <x v="1"/>
  </r>
  <r>
    <n v="1047"/>
    <n v="258"/>
    <s v="Brittany Thompson"/>
    <n v="31"/>
    <x v="0"/>
    <x v="0"/>
    <x v="192"/>
    <x v="212"/>
    <s v="Wendy Davis"/>
    <x v="2"/>
    <n v="257.10000000000002"/>
    <x v="0"/>
  </r>
  <r>
    <n v="1068"/>
    <n v="259"/>
    <s v="Kayla Williams"/>
    <n v="63"/>
    <x v="1"/>
    <x v="1"/>
    <x v="193"/>
    <x v="74"/>
    <s v="Aaron Cooper"/>
    <x v="0"/>
    <n v="217.86"/>
    <x v="0"/>
  </r>
  <r>
    <n v="1048"/>
    <n v="260"/>
    <s v="Victoria Young"/>
    <n v="47"/>
    <x v="0"/>
    <x v="0"/>
    <x v="24"/>
    <x v="15"/>
    <s v="Lauren Whitaker"/>
    <x v="1"/>
    <n v="16707.84"/>
    <x v="1"/>
  </r>
  <r>
    <n v="1030"/>
    <n v="261"/>
    <s v="Robert Lewis"/>
    <n v="66"/>
    <x v="1"/>
    <x v="0"/>
    <x v="194"/>
    <x v="68"/>
    <s v="Samantha Cameron"/>
    <x v="2"/>
    <n v="490.08"/>
    <x v="1"/>
  </r>
  <r>
    <n v="1003"/>
    <n v="262"/>
    <s v="Jeremiah Perez"/>
    <n v="48"/>
    <x v="0"/>
    <x v="1"/>
    <x v="195"/>
    <x v="50"/>
    <s v="Michael Black"/>
    <x v="3"/>
    <n v="8826.24"/>
    <x v="0"/>
  </r>
  <r>
    <n v="1075"/>
    <n v="263"/>
    <s v="Kathy Rhodes"/>
    <n v="72"/>
    <x v="1"/>
    <x v="1"/>
    <x v="142"/>
    <x v="213"/>
    <s v="Rachel Bright"/>
    <x v="1"/>
    <n v="16824.96"/>
    <x v="1"/>
  </r>
  <r>
    <n v="1072"/>
    <n v="264"/>
    <s v="Louis Craig"/>
    <n v="49"/>
    <x v="0"/>
    <x v="0"/>
    <x v="196"/>
    <x v="14"/>
    <s v="Rachel Wood"/>
    <x v="3"/>
    <n v="484.93"/>
    <x v="0"/>
  </r>
  <r>
    <n v="1001"/>
    <n v="265"/>
    <s v="Jenny Black"/>
    <n v="33"/>
    <x v="0"/>
    <x v="0"/>
    <x v="191"/>
    <x v="214"/>
    <s v="Jamie Nunez"/>
    <x v="1"/>
    <n v="36665.279999999999"/>
    <x v="0"/>
  </r>
  <r>
    <n v="1009"/>
    <n v="266"/>
    <s v="Sarah Davis"/>
    <n v="61"/>
    <x v="1"/>
    <x v="1"/>
    <x v="197"/>
    <x v="215"/>
    <s v="Rebecca Thompson"/>
    <x v="0"/>
    <n v="402.6"/>
    <x v="0"/>
  </r>
  <r>
    <n v="1016"/>
    <n v="267"/>
    <s v="Heidi Sosa"/>
    <n v="29"/>
    <x v="0"/>
    <x v="1"/>
    <x v="198"/>
    <x v="216"/>
    <s v="Nancy Wilson"/>
    <x v="2"/>
    <n v="241.81"/>
    <x v="1"/>
  </r>
  <r>
    <n v="1092"/>
    <n v="268"/>
    <s v="Dalton Rodriguez"/>
    <n v="54"/>
    <x v="0"/>
    <x v="1"/>
    <x v="199"/>
    <x v="217"/>
    <s v="Erica Sanchez"/>
    <x v="0"/>
    <n v="467.2"/>
    <x v="1"/>
  </r>
  <r>
    <n v="1037"/>
    <n v="269"/>
    <s v="Brandi Boyd"/>
    <n v="90"/>
    <x v="1"/>
    <x v="1"/>
    <x v="146"/>
    <x v="218"/>
    <s v="Mary Jacobson"/>
    <x v="2"/>
    <n v="96.2"/>
    <x v="0"/>
  </r>
  <r>
    <n v="1071"/>
    <n v="270"/>
    <s v="David Jones"/>
    <n v="25"/>
    <x v="0"/>
    <x v="0"/>
    <x v="200"/>
    <x v="219"/>
    <s v="Dakota Fleming"/>
    <x v="0"/>
    <n v="443.12"/>
    <x v="0"/>
  </r>
  <r>
    <n v="1023"/>
    <n v="271"/>
    <s v="Zachary Lewis"/>
    <n v="46"/>
    <x v="0"/>
    <x v="0"/>
    <x v="171"/>
    <x v="220"/>
    <s v="Gary Washington"/>
    <x v="1"/>
    <n v="33786.239999999998"/>
    <x v="1"/>
  </r>
  <r>
    <n v="1074"/>
    <n v="272"/>
    <s v="Andrea Anderson"/>
    <n v="75"/>
    <x v="1"/>
    <x v="1"/>
    <x v="201"/>
    <x v="221"/>
    <s v="Mary Burgess"/>
    <x v="1"/>
    <n v="5716.8"/>
    <x v="1"/>
  </r>
  <r>
    <n v="1071"/>
    <n v="273"/>
    <s v="Jerry Holmes"/>
    <n v="88"/>
    <x v="1"/>
    <x v="1"/>
    <x v="202"/>
    <x v="129"/>
    <s v="Kim Daniels"/>
    <x v="1"/>
    <n v="344.57"/>
    <x v="1"/>
  </r>
  <r>
    <n v="1039"/>
    <n v="274"/>
    <s v="Kimberly Diaz"/>
    <n v="47"/>
    <x v="0"/>
    <x v="0"/>
    <x v="203"/>
    <x v="217"/>
    <s v="David Guzman"/>
    <x v="3"/>
    <n v="18981.12"/>
    <x v="1"/>
  </r>
  <r>
    <n v="1084"/>
    <n v="275"/>
    <s v="Nathaniel White"/>
    <n v="71"/>
    <x v="1"/>
    <x v="1"/>
    <x v="204"/>
    <x v="170"/>
    <s v="Andrew Clark"/>
    <x v="2"/>
    <n v="9158.4"/>
    <x v="0"/>
  </r>
  <r>
    <n v="1053"/>
    <n v="276"/>
    <s v="Peter Pierce"/>
    <n v="70"/>
    <x v="1"/>
    <x v="1"/>
    <x v="205"/>
    <x v="105"/>
    <s v="Deborah Snyder"/>
    <x v="1"/>
    <n v="389.49"/>
    <x v="0"/>
  </r>
  <r>
    <n v="1075"/>
    <n v="277"/>
    <s v="Jacqueline Collins"/>
    <n v="67"/>
    <x v="1"/>
    <x v="0"/>
    <x v="206"/>
    <x v="222"/>
    <s v="Paul Parker"/>
    <x v="1"/>
    <n v="15504"/>
    <x v="0"/>
  </r>
  <r>
    <n v="1100"/>
    <n v="278"/>
    <s v="Ms. Kristen Johnson"/>
    <n v="60"/>
    <x v="1"/>
    <x v="1"/>
    <x v="95"/>
    <x v="185"/>
    <s v="Susan Griffin"/>
    <x v="1"/>
    <n v="455.57"/>
    <x v="1"/>
  </r>
  <r>
    <n v="1030"/>
    <n v="279"/>
    <s v="Jesse Wood"/>
    <n v="69"/>
    <x v="1"/>
    <x v="1"/>
    <x v="144"/>
    <x v="19"/>
    <s v="Deborah Vasquez"/>
    <x v="1"/>
    <n v="224.83"/>
    <x v="1"/>
  </r>
  <r>
    <n v="1093"/>
    <n v="280"/>
    <s v="James Price"/>
    <n v="72"/>
    <x v="1"/>
    <x v="1"/>
    <x v="101"/>
    <x v="223"/>
    <s v="Jessica Garcia"/>
    <x v="0"/>
    <n v="18676.8"/>
    <x v="1"/>
  </r>
  <r>
    <n v="1090"/>
    <n v="281"/>
    <s v="Tracy Smith"/>
    <n v="30"/>
    <x v="0"/>
    <x v="0"/>
    <x v="19"/>
    <x v="217"/>
    <s v="Amber Baxter"/>
    <x v="1"/>
    <n v="139.49"/>
    <x v="1"/>
  </r>
  <r>
    <n v="1055"/>
    <n v="282"/>
    <s v="Stephanie Carr"/>
    <n v="70"/>
    <x v="1"/>
    <x v="0"/>
    <x v="207"/>
    <x v="220"/>
    <s v="David Colon"/>
    <x v="3"/>
    <n v="20415.36"/>
    <x v="0"/>
  </r>
  <r>
    <n v="1018"/>
    <n v="283"/>
    <s v="Leonard Clark"/>
    <n v="56"/>
    <x v="0"/>
    <x v="0"/>
    <x v="55"/>
    <x v="204"/>
    <s v="Robert Foster"/>
    <x v="2"/>
    <n v="68.8"/>
    <x v="1"/>
  </r>
  <r>
    <n v="1032"/>
    <n v="284"/>
    <s v="Ryan Tucker"/>
    <n v="89"/>
    <x v="1"/>
    <x v="1"/>
    <x v="47"/>
    <x v="224"/>
    <s v="Barbara Owens"/>
    <x v="3"/>
    <n v="224.61"/>
    <x v="0"/>
  </r>
  <r>
    <n v="1024"/>
    <n v="285"/>
    <s v="Kelsey Rice"/>
    <n v="20"/>
    <x v="2"/>
    <x v="1"/>
    <x v="208"/>
    <x v="225"/>
    <s v="Darren Jensen"/>
    <x v="0"/>
    <n v="18282.240000000002"/>
    <x v="0"/>
  </r>
  <r>
    <n v="1044"/>
    <n v="286"/>
    <s v="Monique Daniels"/>
    <n v="25"/>
    <x v="0"/>
    <x v="0"/>
    <x v="209"/>
    <x v="226"/>
    <s v="Alexander Brown"/>
    <x v="0"/>
    <n v="30397.439999999999"/>
    <x v="1"/>
  </r>
  <r>
    <n v="1085"/>
    <n v="287"/>
    <s v="Joseph Mcmillan"/>
    <n v="67"/>
    <x v="1"/>
    <x v="0"/>
    <x v="210"/>
    <x v="227"/>
    <s v="Frederick Nielsen"/>
    <x v="3"/>
    <n v="308.58999999999997"/>
    <x v="0"/>
  </r>
  <r>
    <n v="1089"/>
    <n v="288"/>
    <s v="Miss Christine Lopez"/>
    <n v="75"/>
    <x v="1"/>
    <x v="0"/>
    <x v="211"/>
    <x v="11"/>
    <s v="Cynthia Turner"/>
    <x v="2"/>
    <n v="39799.68"/>
    <x v="1"/>
  </r>
  <r>
    <n v="1092"/>
    <n v="289"/>
    <s v="James Mendez"/>
    <n v="89"/>
    <x v="1"/>
    <x v="0"/>
    <x v="133"/>
    <x v="228"/>
    <s v="Jackie Brooks"/>
    <x v="0"/>
    <n v="17897.28"/>
    <x v="0"/>
  </r>
  <r>
    <n v="1084"/>
    <n v="290"/>
    <s v="Kelly Hess"/>
    <n v="42"/>
    <x v="0"/>
    <x v="0"/>
    <x v="212"/>
    <x v="59"/>
    <s v="Seth Benson"/>
    <x v="0"/>
    <n v="268.93"/>
    <x v="0"/>
  </r>
  <r>
    <n v="1080"/>
    <n v="291"/>
    <s v="Jennifer Williams"/>
    <n v="80"/>
    <x v="1"/>
    <x v="1"/>
    <x v="213"/>
    <x v="229"/>
    <s v="Emily Barnes"/>
    <x v="0"/>
    <n v="47888.639999999999"/>
    <x v="0"/>
  </r>
  <r>
    <n v="1035"/>
    <n v="292"/>
    <s v="Holly Potter"/>
    <n v="75"/>
    <x v="1"/>
    <x v="1"/>
    <x v="214"/>
    <x v="230"/>
    <s v="Christina Mitchell"/>
    <x v="0"/>
    <n v="274.5"/>
    <x v="1"/>
  </r>
  <r>
    <n v="1016"/>
    <n v="293"/>
    <s v="Wendy Andrews"/>
    <n v="46"/>
    <x v="0"/>
    <x v="1"/>
    <x v="124"/>
    <x v="231"/>
    <s v="Kimberly Wilcox"/>
    <x v="3"/>
    <n v="353.07"/>
    <x v="1"/>
  </r>
  <r>
    <n v="1012"/>
    <n v="294"/>
    <s v="Javier Hawkins"/>
    <n v="38"/>
    <x v="0"/>
    <x v="1"/>
    <x v="144"/>
    <x v="131"/>
    <s v="Debra Fields"/>
    <x v="3"/>
    <n v="41043.839999999997"/>
    <x v="0"/>
  </r>
  <r>
    <n v="1100"/>
    <n v="295"/>
    <s v="Sonya Wheeler"/>
    <n v="60"/>
    <x v="1"/>
    <x v="0"/>
    <x v="160"/>
    <x v="232"/>
    <s v="Adam Carlson"/>
    <x v="3"/>
    <n v="433.05"/>
    <x v="1"/>
  </r>
  <r>
    <n v="1094"/>
    <n v="296"/>
    <s v="Crystal Oneal"/>
    <n v="60"/>
    <x v="1"/>
    <x v="1"/>
    <x v="98"/>
    <x v="233"/>
    <s v="Harold Gray"/>
    <x v="1"/>
    <n v="40487.040000000001"/>
    <x v="1"/>
  </r>
  <r>
    <n v="1056"/>
    <n v="297"/>
    <s v="Justin White"/>
    <n v="82"/>
    <x v="1"/>
    <x v="1"/>
    <x v="215"/>
    <x v="234"/>
    <s v="Jose Jackson"/>
    <x v="1"/>
    <n v="203.05"/>
    <x v="0"/>
  </r>
  <r>
    <n v="1088"/>
    <n v="298"/>
    <s v="Meghan Evans"/>
    <n v="79"/>
    <x v="1"/>
    <x v="0"/>
    <x v="214"/>
    <x v="235"/>
    <s v="Courtney Yang"/>
    <x v="3"/>
    <n v="32366.400000000001"/>
    <x v="0"/>
  </r>
  <r>
    <n v="1076"/>
    <n v="299"/>
    <s v="Melanie Hernandez"/>
    <n v="19"/>
    <x v="2"/>
    <x v="0"/>
    <x v="216"/>
    <x v="236"/>
    <s v="Adam Anderson"/>
    <x v="3"/>
    <n v="42813.120000000003"/>
    <x v="1"/>
  </r>
  <r>
    <n v="1005"/>
    <n v="300"/>
    <s v="Nicole Garcia"/>
    <n v="55"/>
    <x v="0"/>
    <x v="0"/>
    <x v="217"/>
    <x v="237"/>
    <s v="Guy Vaughn"/>
    <x v="2"/>
    <n v="12031.68"/>
    <x v="0"/>
  </r>
  <r>
    <n v="1018"/>
    <n v="301"/>
    <s v="Bryan Armstrong"/>
    <n v="68"/>
    <x v="1"/>
    <x v="1"/>
    <x v="218"/>
    <x v="238"/>
    <s v="Robert Escobar"/>
    <x v="1"/>
    <n v="305.01"/>
    <x v="0"/>
  </r>
  <r>
    <n v="1092"/>
    <n v="302"/>
    <s v="Lisa Hill"/>
    <n v="68"/>
    <x v="1"/>
    <x v="0"/>
    <x v="219"/>
    <x v="239"/>
    <s v="Mia Boyd"/>
    <x v="2"/>
    <n v="16224.96"/>
    <x v="0"/>
  </r>
  <r>
    <n v="1089"/>
    <n v="303"/>
    <s v="Bradley Myers"/>
    <n v="63"/>
    <x v="1"/>
    <x v="1"/>
    <x v="13"/>
    <x v="8"/>
    <s v="Mark Barrett"/>
    <x v="1"/>
    <n v="426.51"/>
    <x v="1"/>
  </r>
  <r>
    <n v="1043"/>
    <n v="304"/>
    <s v="Derek Smith"/>
    <n v="82"/>
    <x v="1"/>
    <x v="0"/>
    <x v="220"/>
    <x v="240"/>
    <s v="Jeremy Burton"/>
    <x v="2"/>
    <n v="20712.96"/>
    <x v="0"/>
  </r>
  <r>
    <n v="1021"/>
    <n v="305"/>
    <s v="Taylor Farley"/>
    <n v="25"/>
    <x v="0"/>
    <x v="0"/>
    <x v="21"/>
    <x v="241"/>
    <s v="Christy Lewis"/>
    <x v="2"/>
    <n v="17674.560000000001"/>
    <x v="1"/>
  </r>
  <r>
    <n v="1086"/>
    <n v="306"/>
    <s v="Richard Richardson"/>
    <n v="80"/>
    <x v="1"/>
    <x v="0"/>
    <x v="221"/>
    <x v="242"/>
    <s v="Robin Hebert"/>
    <x v="2"/>
    <n v="226.12"/>
    <x v="1"/>
  </r>
  <r>
    <n v="1016"/>
    <n v="307"/>
    <s v="Ryan Rodriguez"/>
    <n v="53"/>
    <x v="0"/>
    <x v="0"/>
    <x v="186"/>
    <x v="243"/>
    <s v="Eric Kennedy"/>
    <x v="3"/>
    <n v="277.5"/>
    <x v="1"/>
  </r>
  <r>
    <n v="1050"/>
    <n v="308"/>
    <s v="Jeremy Coleman"/>
    <n v="83"/>
    <x v="1"/>
    <x v="1"/>
    <x v="161"/>
    <x v="244"/>
    <s v="David Riley"/>
    <x v="1"/>
    <n v="63.99"/>
    <x v="0"/>
  </r>
  <r>
    <n v="1079"/>
    <n v="309"/>
    <s v="Alexander Williams"/>
    <n v="85"/>
    <x v="1"/>
    <x v="0"/>
    <x v="222"/>
    <x v="245"/>
    <s v="Erin Chandler"/>
    <x v="3"/>
    <n v="85.56"/>
    <x v="0"/>
  </r>
  <r>
    <n v="1027"/>
    <n v="310"/>
    <s v="Mary Wilson"/>
    <n v="27"/>
    <x v="0"/>
    <x v="0"/>
    <x v="152"/>
    <x v="144"/>
    <s v="Misty Higgins"/>
    <x v="3"/>
    <n v="40470.720000000001"/>
    <x v="1"/>
  </r>
  <r>
    <n v="1053"/>
    <n v="311"/>
    <s v="Robert Wade"/>
    <n v="87"/>
    <x v="1"/>
    <x v="1"/>
    <x v="171"/>
    <x v="59"/>
    <s v="Phillip Shelton"/>
    <x v="3"/>
    <n v="23975.040000000001"/>
    <x v="1"/>
  </r>
  <r>
    <n v="1051"/>
    <n v="312"/>
    <s v="Oscar Luna"/>
    <n v="72"/>
    <x v="1"/>
    <x v="0"/>
    <x v="223"/>
    <x v="246"/>
    <s v="John Stewart"/>
    <x v="0"/>
    <n v="12149.76"/>
    <x v="1"/>
  </r>
  <r>
    <n v="1098"/>
    <n v="313"/>
    <s v="Lance Hobbs"/>
    <n v="59"/>
    <x v="0"/>
    <x v="1"/>
    <x v="224"/>
    <x v="127"/>
    <s v="Mr. James Brown"/>
    <x v="0"/>
    <n v="13758.72"/>
    <x v="0"/>
  </r>
  <r>
    <n v="1044"/>
    <n v="314"/>
    <s v="Daniel White"/>
    <n v="67"/>
    <x v="1"/>
    <x v="1"/>
    <x v="225"/>
    <x v="247"/>
    <s v="Chad Johnson"/>
    <x v="1"/>
    <n v="277.51"/>
    <x v="0"/>
  </r>
  <r>
    <n v="1035"/>
    <n v="315"/>
    <s v="Eddie Tate"/>
    <n v="53"/>
    <x v="0"/>
    <x v="1"/>
    <x v="188"/>
    <x v="248"/>
    <s v="Paul Johnson"/>
    <x v="1"/>
    <n v="374.03"/>
    <x v="1"/>
  </r>
  <r>
    <n v="1005"/>
    <n v="316"/>
    <s v="Katherine Rios"/>
    <n v="23"/>
    <x v="0"/>
    <x v="0"/>
    <x v="226"/>
    <x v="249"/>
    <s v="Elizabeth Foster"/>
    <x v="3"/>
    <n v="25504.32"/>
    <x v="0"/>
  </r>
  <r>
    <n v="1094"/>
    <n v="317"/>
    <s v="Jennifer Shaffer"/>
    <n v="59"/>
    <x v="0"/>
    <x v="0"/>
    <x v="46"/>
    <x v="250"/>
    <s v="Brittany Watson"/>
    <x v="3"/>
    <n v="36733.440000000002"/>
    <x v="1"/>
  </r>
  <r>
    <n v="1065"/>
    <n v="318"/>
    <s v="Leslie Newman"/>
    <n v="80"/>
    <x v="1"/>
    <x v="0"/>
    <x v="102"/>
    <x v="251"/>
    <s v="Lindsey Mendoza"/>
    <x v="2"/>
    <n v="125.35"/>
    <x v="0"/>
  </r>
  <r>
    <n v="1054"/>
    <n v="319"/>
    <s v="Lindsey Sullivan MD"/>
    <n v="66"/>
    <x v="1"/>
    <x v="1"/>
    <x v="67"/>
    <x v="230"/>
    <s v="David Barnett"/>
    <x v="3"/>
    <n v="290.47000000000003"/>
    <x v="1"/>
  </r>
  <r>
    <n v="1087"/>
    <n v="320"/>
    <s v="Kenneth Cox"/>
    <n v="78"/>
    <x v="1"/>
    <x v="1"/>
    <x v="106"/>
    <x v="252"/>
    <s v="Brian Walker"/>
    <x v="0"/>
    <n v="11834.88"/>
    <x v="0"/>
  </r>
  <r>
    <n v="1012"/>
    <n v="321"/>
    <s v="Susan Winters"/>
    <n v="45"/>
    <x v="0"/>
    <x v="0"/>
    <x v="195"/>
    <x v="253"/>
    <s v="Christopher Simpson"/>
    <x v="3"/>
    <n v="33896.639999999999"/>
    <x v="0"/>
  </r>
  <r>
    <n v="1085"/>
    <n v="322"/>
    <s v="Marissa Randall"/>
    <n v="30"/>
    <x v="0"/>
    <x v="1"/>
    <x v="167"/>
    <x v="254"/>
    <s v="Kent Cannon"/>
    <x v="1"/>
    <n v="299.12"/>
    <x v="1"/>
  </r>
  <r>
    <n v="1031"/>
    <n v="323"/>
    <s v="Shannon Vargas"/>
    <n v="57"/>
    <x v="0"/>
    <x v="0"/>
    <x v="175"/>
    <x v="255"/>
    <s v="Brian Caldwell"/>
    <x v="3"/>
    <n v="32746.560000000001"/>
    <x v="0"/>
  </r>
  <r>
    <n v="1021"/>
    <n v="324"/>
    <s v="Gary Simpson"/>
    <n v="63"/>
    <x v="1"/>
    <x v="1"/>
    <x v="227"/>
    <x v="256"/>
    <s v="Veronica Chen"/>
    <x v="1"/>
    <n v="44409.599999999999"/>
    <x v="1"/>
  </r>
  <r>
    <n v="1015"/>
    <n v="325"/>
    <s v="Gary Ramos"/>
    <n v="84"/>
    <x v="1"/>
    <x v="0"/>
    <x v="228"/>
    <x v="208"/>
    <s v="Gregory Riley"/>
    <x v="2"/>
    <n v="353.35"/>
    <x v="1"/>
  </r>
  <r>
    <n v="1008"/>
    <n v="326"/>
    <s v="Lisa Smith"/>
    <n v="40"/>
    <x v="0"/>
    <x v="0"/>
    <x v="229"/>
    <x v="170"/>
    <s v="Daniel Beck"/>
    <x v="3"/>
    <n v="449.41"/>
    <x v="0"/>
  </r>
  <r>
    <n v="1080"/>
    <n v="327"/>
    <s v="Eric Lawson"/>
    <n v="78"/>
    <x v="1"/>
    <x v="1"/>
    <x v="230"/>
    <x v="179"/>
    <s v="Andrew Webb"/>
    <x v="2"/>
    <n v="17190.72"/>
    <x v="0"/>
  </r>
  <r>
    <n v="1067"/>
    <n v="328"/>
    <s v="Vanessa Wright"/>
    <n v="28"/>
    <x v="0"/>
    <x v="1"/>
    <x v="59"/>
    <x v="257"/>
    <s v="Virginia Sharp"/>
    <x v="2"/>
    <n v="344.67"/>
    <x v="1"/>
  </r>
  <r>
    <n v="1043"/>
    <n v="329"/>
    <s v="Edward Thomas"/>
    <n v="80"/>
    <x v="1"/>
    <x v="0"/>
    <x v="231"/>
    <x v="258"/>
    <s v="Teresa Medina"/>
    <x v="1"/>
    <n v="8133.12"/>
    <x v="1"/>
  </r>
  <r>
    <n v="1066"/>
    <n v="330"/>
    <s v="Sandra Hill"/>
    <n v="65"/>
    <x v="1"/>
    <x v="1"/>
    <x v="69"/>
    <x v="45"/>
    <s v="Julie May"/>
    <x v="3"/>
    <n v="113.2"/>
    <x v="1"/>
  </r>
  <r>
    <n v="1013"/>
    <n v="331"/>
    <s v="Ashlee Warren"/>
    <n v="69"/>
    <x v="1"/>
    <x v="1"/>
    <x v="232"/>
    <x v="259"/>
    <s v="Cynthia Cruz"/>
    <x v="0"/>
    <n v="289.74"/>
    <x v="1"/>
  </r>
  <r>
    <n v="1024"/>
    <n v="332"/>
    <s v="Alexander Vega"/>
    <n v="35"/>
    <x v="0"/>
    <x v="1"/>
    <x v="18"/>
    <x v="94"/>
    <s v="Karen Gomez"/>
    <x v="1"/>
    <n v="25934.400000000001"/>
    <x v="1"/>
  </r>
  <r>
    <n v="1095"/>
    <n v="333"/>
    <s v="Jackie Lane"/>
    <n v="56"/>
    <x v="0"/>
    <x v="1"/>
    <x v="78"/>
    <x v="93"/>
    <s v="Jackie Harper"/>
    <x v="2"/>
    <n v="335.27"/>
    <x v="1"/>
  </r>
  <r>
    <n v="1048"/>
    <n v="334"/>
    <s v="Shawn Cordova"/>
    <n v="67"/>
    <x v="1"/>
    <x v="1"/>
    <x v="233"/>
    <x v="260"/>
    <s v="Wendy Mcguire"/>
    <x v="1"/>
    <n v="285.22000000000003"/>
    <x v="0"/>
  </r>
  <r>
    <n v="1033"/>
    <n v="335"/>
    <s v="Christina Macdonald"/>
    <n v="64"/>
    <x v="1"/>
    <x v="0"/>
    <x v="145"/>
    <x v="233"/>
    <s v="Samuel Ramirez"/>
    <x v="0"/>
    <n v="91.36"/>
    <x v="1"/>
  </r>
  <r>
    <n v="1085"/>
    <n v="336"/>
    <s v="Dylan Jones"/>
    <n v="22"/>
    <x v="2"/>
    <x v="0"/>
    <x v="136"/>
    <x v="69"/>
    <s v="Katherine Small"/>
    <x v="0"/>
    <n v="498.58"/>
    <x v="0"/>
  </r>
  <r>
    <n v="1083"/>
    <n v="337"/>
    <s v="Lori Dean"/>
    <n v="40"/>
    <x v="0"/>
    <x v="0"/>
    <x v="10"/>
    <x v="261"/>
    <s v="Theresa Williams"/>
    <x v="3"/>
    <n v="312.26"/>
    <x v="0"/>
  </r>
  <r>
    <n v="1059"/>
    <n v="338"/>
    <s v="Jill Mcconnell"/>
    <n v="81"/>
    <x v="1"/>
    <x v="0"/>
    <x v="234"/>
    <x v="262"/>
    <s v="Jessica Miller"/>
    <x v="2"/>
    <n v="475.35"/>
    <x v="0"/>
  </r>
  <r>
    <n v="1044"/>
    <n v="339"/>
    <s v="Kyle Barnes Jr."/>
    <n v="21"/>
    <x v="2"/>
    <x v="1"/>
    <x v="235"/>
    <x v="263"/>
    <s v="Donna Peters"/>
    <x v="0"/>
    <n v="14985.6"/>
    <x v="1"/>
  </r>
  <r>
    <n v="1024"/>
    <n v="340"/>
    <s v="Jeffrey Warren"/>
    <n v="60"/>
    <x v="1"/>
    <x v="0"/>
    <x v="164"/>
    <x v="41"/>
    <s v="Mrs. Michelle Reed"/>
    <x v="2"/>
    <n v="340.54"/>
    <x v="0"/>
  </r>
  <r>
    <n v="1010"/>
    <n v="341"/>
    <s v="Andre Crosby"/>
    <n v="72"/>
    <x v="1"/>
    <x v="0"/>
    <x v="48"/>
    <x v="264"/>
    <s v="Douglas Smith"/>
    <x v="0"/>
    <n v="22637.759999999998"/>
    <x v="0"/>
  </r>
  <r>
    <n v="1047"/>
    <n v="342"/>
    <s v="Dennis Jacobs"/>
    <n v="33"/>
    <x v="0"/>
    <x v="1"/>
    <x v="47"/>
    <x v="265"/>
    <s v="Katherine Long"/>
    <x v="0"/>
    <n v="29499.84"/>
    <x v="1"/>
  </r>
  <r>
    <n v="1063"/>
    <n v="343"/>
    <s v="Edward Black"/>
    <n v="88"/>
    <x v="1"/>
    <x v="0"/>
    <x v="236"/>
    <x v="156"/>
    <s v="Nathan Summers"/>
    <x v="3"/>
    <n v="268.75"/>
    <x v="0"/>
  </r>
  <r>
    <n v="1002"/>
    <n v="344"/>
    <s v="Lindsey Green"/>
    <n v="28"/>
    <x v="0"/>
    <x v="0"/>
    <x v="237"/>
    <x v="266"/>
    <s v="James Fleming"/>
    <x v="1"/>
    <n v="25988.16"/>
    <x v="0"/>
  </r>
  <r>
    <n v="1075"/>
    <n v="345"/>
    <s v="Sarah Hernandez"/>
    <n v="25"/>
    <x v="0"/>
    <x v="0"/>
    <x v="238"/>
    <x v="267"/>
    <s v="Jeremy Mclaughlin"/>
    <x v="3"/>
    <n v="24322.560000000001"/>
    <x v="1"/>
  </r>
  <r>
    <n v="1090"/>
    <n v="346"/>
    <s v="Christina Eaton"/>
    <n v="85"/>
    <x v="1"/>
    <x v="1"/>
    <x v="239"/>
    <x v="268"/>
    <s v="Stephanie Kelley DVM"/>
    <x v="1"/>
    <n v="18515.52"/>
    <x v="0"/>
  </r>
  <r>
    <n v="1000"/>
    <n v="347"/>
    <s v="Angela Rogers"/>
    <n v="18"/>
    <x v="2"/>
    <x v="1"/>
    <x v="22"/>
    <x v="269"/>
    <s v="Dr. Brian Smith"/>
    <x v="3"/>
    <n v="362.08"/>
    <x v="0"/>
  </r>
  <r>
    <n v="1075"/>
    <n v="348"/>
    <s v="Brian Clarke"/>
    <n v="73"/>
    <x v="1"/>
    <x v="1"/>
    <x v="192"/>
    <x v="270"/>
    <s v="Amanda Hoffman"/>
    <x v="1"/>
    <n v="33425.279999999999"/>
    <x v="0"/>
  </r>
  <r>
    <n v="1021"/>
    <n v="349"/>
    <s v="Mrs. Jennifer Ingram"/>
    <n v="41"/>
    <x v="0"/>
    <x v="1"/>
    <x v="161"/>
    <x v="271"/>
    <s v="Katrina Williams MD"/>
    <x v="0"/>
    <n v="45427.199999999997"/>
    <x v="0"/>
  </r>
  <r>
    <n v="1052"/>
    <n v="350"/>
    <s v="Troy Torres"/>
    <n v="80"/>
    <x v="1"/>
    <x v="0"/>
    <x v="56"/>
    <x v="138"/>
    <s v="Matthew Carney"/>
    <x v="2"/>
    <n v="11912.64"/>
    <x v="0"/>
  </r>
  <r>
    <n v="1062"/>
    <n v="351"/>
    <s v="Jade Blanchard MD"/>
    <n v="23"/>
    <x v="0"/>
    <x v="0"/>
    <x v="240"/>
    <x v="272"/>
    <s v="Amber Waters"/>
    <x v="3"/>
    <n v="14498.88"/>
    <x v="0"/>
  </r>
  <r>
    <n v="1088"/>
    <n v="352"/>
    <s v="Pamela Johnson"/>
    <n v="80"/>
    <x v="1"/>
    <x v="0"/>
    <x v="241"/>
    <x v="86"/>
    <s v="Crystal Garza"/>
    <x v="0"/>
    <n v="417.42"/>
    <x v="1"/>
  </r>
  <r>
    <n v="1028"/>
    <n v="353"/>
    <s v="Glenn Wall"/>
    <n v="26"/>
    <x v="0"/>
    <x v="0"/>
    <x v="16"/>
    <x v="273"/>
    <s v="Sarah Peterson"/>
    <x v="2"/>
    <n v="10838.4"/>
    <x v="1"/>
  </r>
  <r>
    <n v="1050"/>
    <n v="354"/>
    <s v="Christopher Beard"/>
    <n v="65"/>
    <x v="1"/>
    <x v="1"/>
    <x v="242"/>
    <x v="205"/>
    <s v="Jerry Torres"/>
    <x v="0"/>
    <n v="126.44"/>
    <x v="1"/>
  </r>
  <r>
    <n v="1062"/>
    <n v="355"/>
    <s v="Peter Schaefer"/>
    <n v="84"/>
    <x v="1"/>
    <x v="0"/>
    <x v="117"/>
    <x v="274"/>
    <s v="Carlos Spence"/>
    <x v="2"/>
    <n v="190.01"/>
    <x v="0"/>
  </r>
  <r>
    <n v="1014"/>
    <n v="356"/>
    <s v="Andrew Cross"/>
    <n v="67"/>
    <x v="1"/>
    <x v="0"/>
    <x v="243"/>
    <x v="275"/>
    <s v="Victor Warner"/>
    <x v="0"/>
    <n v="281.44"/>
    <x v="0"/>
  </r>
  <r>
    <n v="1030"/>
    <n v="357"/>
    <s v="Jonathan Fernandez"/>
    <n v="40"/>
    <x v="0"/>
    <x v="1"/>
    <x v="244"/>
    <x v="276"/>
    <s v="Luis Nolan"/>
    <x v="3"/>
    <n v="252.73"/>
    <x v="1"/>
  </r>
  <r>
    <n v="1065"/>
    <n v="358"/>
    <s v="Anthony Nash"/>
    <n v="32"/>
    <x v="0"/>
    <x v="1"/>
    <x v="72"/>
    <x v="277"/>
    <s v="Brianna Shea"/>
    <x v="2"/>
    <n v="392"/>
    <x v="1"/>
  </r>
  <r>
    <n v="1001"/>
    <n v="359"/>
    <s v="Richard Griffin"/>
    <n v="61"/>
    <x v="1"/>
    <x v="1"/>
    <x v="162"/>
    <x v="278"/>
    <s v="Tina Gonzalez"/>
    <x v="3"/>
    <n v="81.87"/>
    <x v="1"/>
  </r>
  <r>
    <n v="1098"/>
    <n v="360"/>
    <s v="Manuel Becker"/>
    <n v="66"/>
    <x v="1"/>
    <x v="0"/>
    <x v="89"/>
    <x v="279"/>
    <s v="Jacob Patel"/>
    <x v="1"/>
    <n v="13439.04"/>
    <x v="0"/>
  </r>
  <r>
    <n v="1066"/>
    <n v="361"/>
    <s v="Jonathan Wood"/>
    <n v="74"/>
    <x v="1"/>
    <x v="0"/>
    <x v="220"/>
    <x v="250"/>
    <s v="Jon Duarte"/>
    <x v="3"/>
    <n v="486.07"/>
    <x v="1"/>
  </r>
  <r>
    <n v="1078"/>
    <n v="362"/>
    <s v="Nathan Murphy"/>
    <n v="52"/>
    <x v="0"/>
    <x v="0"/>
    <x v="221"/>
    <x v="190"/>
    <s v="Kerry Rowe"/>
    <x v="2"/>
    <n v="164.9"/>
    <x v="0"/>
  </r>
  <r>
    <n v="1072"/>
    <n v="363"/>
    <s v="Stephanie Caldwell MD"/>
    <n v="86"/>
    <x v="1"/>
    <x v="0"/>
    <x v="152"/>
    <x v="280"/>
    <s v="Darrell Mendez"/>
    <x v="3"/>
    <n v="7184.64"/>
    <x v="1"/>
  </r>
  <r>
    <n v="1011"/>
    <n v="364"/>
    <s v="Henry Carlson"/>
    <n v="65"/>
    <x v="1"/>
    <x v="0"/>
    <x v="43"/>
    <x v="281"/>
    <s v="Benjamin Brown"/>
    <x v="3"/>
    <n v="230.11"/>
    <x v="1"/>
  </r>
  <r>
    <n v="1080"/>
    <n v="365"/>
    <s v="Nicholas Vasquez"/>
    <n v="49"/>
    <x v="0"/>
    <x v="1"/>
    <x v="229"/>
    <x v="236"/>
    <s v="Jennifer Anderson"/>
    <x v="1"/>
    <n v="410.8"/>
    <x v="0"/>
  </r>
  <r>
    <n v="1069"/>
    <n v="366"/>
    <s v="Cheryl Smith"/>
    <n v="48"/>
    <x v="0"/>
    <x v="0"/>
    <x v="21"/>
    <x v="224"/>
    <s v="Sarah Harper DDS"/>
    <x v="2"/>
    <n v="9356.16"/>
    <x v="0"/>
  </r>
  <r>
    <n v="1051"/>
    <n v="367"/>
    <s v="Matthew Moore"/>
    <n v="63"/>
    <x v="1"/>
    <x v="0"/>
    <x v="36"/>
    <x v="28"/>
    <s v="Erica Riley"/>
    <x v="0"/>
    <n v="116.32"/>
    <x v="1"/>
  </r>
  <r>
    <n v="1092"/>
    <n v="368"/>
    <s v="Katherine Wilson"/>
    <n v="44"/>
    <x v="0"/>
    <x v="0"/>
    <x v="245"/>
    <x v="170"/>
    <s v="Mitchell Sims"/>
    <x v="3"/>
    <n v="19516.8"/>
    <x v="1"/>
  </r>
  <r>
    <n v="1093"/>
    <n v="369"/>
    <s v="James Miller"/>
    <n v="23"/>
    <x v="0"/>
    <x v="1"/>
    <x v="172"/>
    <x v="158"/>
    <s v="Dawn Collins"/>
    <x v="0"/>
    <n v="13385.28"/>
    <x v="0"/>
  </r>
  <r>
    <n v="1055"/>
    <n v="370"/>
    <s v="Kathleen Oneal"/>
    <n v="71"/>
    <x v="1"/>
    <x v="1"/>
    <x v="89"/>
    <x v="282"/>
    <s v="Jacob Andrade"/>
    <x v="3"/>
    <n v="7138.56"/>
    <x v="1"/>
  </r>
  <r>
    <n v="1074"/>
    <n v="371"/>
    <s v="Steven Wilson"/>
    <n v="48"/>
    <x v="0"/>
    <x v="0"/>
    <x v="67"/>
    <x v="283"/>
    <s v="Hannah Herrera"/>
    <x v="2"/>
    <n v="7438.08"/>
    <x v="0"/>
  </r>
  <r>
    <n v="1037"/>
    <n v="372"/>
    <s v="Kathy Banks"/>
    <n v="39"/>
    <x v="0"/>
    <x v="1"/>
    <x v="246"/>
    <x v="284"/>
    <s v="Anna Yoder"/>
    <x v="0"/>
    <n v="319.04000000000002"/>
    <x v="1"/>
  </r>
  <r>
    <n v="1039"/>
    <n v="373"/>
    <s v="Barbara Johnston"/>
    <n v="46"/>
    <x v="0"/>
    <x v="0"/>
    <x v="71"/>
    <x v="285"/>
    <s v="April Hood"/>
    <x v="2"/>
    <n v="160.18"/>
    <x v="1"/>
  </r>
  <r>
    <n v="1040"/>
    <n v="374"/>
    <s v="Patrick Perez"/>
    <n v="62"/>
    <x v="1"/>
    <x v="1"/>
    <x v="232"/>
    <x v="118"/>
    <s v="Jesse Edwards"/>
    <x v="1"/>
    <n v="27853.439999999999"/>
    <x v="1"/>
  </r>
  <r>
    <n v="1097"/>
    <n v="375"/>
    <s v="Ryan Williams"/>
    <n v="88"/>
    <x v="1"/>
    <x v="0"/>
    <x v="54"/>
    <x v="92"/>
    <s v="Veronica Fry"/>
    <x v="0"/>
    <n v="38253.120000000003"/>
    <x v="1"/>
  </r>
  <r>
    <n v="1067"/>
    <n v="376"/>
    <s v="Benjamin Ramirez"/>
    <n v="57"/>
    <x v="0"/>
    <x v="0"/>
    <x v="139"/>
    <x v="286"/>
    <s v="Wesley Johnson"/>
    <x v="1"/>
    <n v="13663.68"/>
    <x v="0"/>
  </r>
  <r>
    <n v="1064"/>
    <n v="377"/>
    <s v="Matthew Buckley"/>
    <n v="57"/>
    <x v="0"/>
    <x v="1"/>
    <x v="25"/>
    <x v="287"/>
    <s v="Ryan Collins"/>
    <x v="0"/>
    <n v="476.81"/>
    <x v="0"/>
  </r>
  <r>
    <n v="1053"/>
    <n v="378"/>
    <s v="Christopher Lopez"/>
    <n v="39"/>
    <x v="0"/>
    <x v="1"/>
    <x v="247"/>
    <x v="226"/>
    <s v="Caleb Kennedy"/>
    <x v="0"/>
    <n v="28388.16"/>
    <x v="0"/>
  </r>
  <r>
    <n v="1035"/>
    <n v="379"/>
    <s v="Ronnie Roach"/>
    <n v="46"/>
    <x v="0"/>
    <x v="0"/>
    <x v="128"/>
    <x v="288"/>
    <s v="Jason Houston"/>
    <x v="2"/>
    <n v="167.5"/>
    <x v="1"/>
  </r>
  <r>
    <n v="1015"/>
    <n v="380"/>
    <s v="Rodney Gonzalez"/>
    <n v="21"/>
    <x v="2"/>
    <x v="0"/>
    <x v="152"/>
    <x v="188"/>
    <s v="Allison Ramos"/>
    <x v="2"/>
    <n v="16159.68"/>
    <x v="0"/>
  </r>
  <r>
    <n v="1099"/>
    <n v="381"/>
    <s v="Mrs. Katherine Huber PhD"/>
    <n v="74"/>
    <x v="1"/>
    <x v="1"/>
    <x v="248"/>
    <x v="289"/>
    <s v="Kathryn Young"/>
    <x v="2"/>
    <n v="46899.839999999997"/>
    <x v="0"/>
  </r>
  <r>
    <n v="1056"/>
    <n v="382"/>
    <s v="Savannah Butler"/>
    <n v="26"/>
    <x v="0"/>
    <x v="0"/>
    <x v="77"/>
    <x v="290"/>
    <s v="James Nguyen"/>
    <x v="1"/>
    <n v="32685.119999999999"/>
    <x v="0"/>
  </r>
  <r>
    <n v="1050"/>
    <n v="383"/>
    <s v="Brian Davis"/>
    <n v="41"/>
    <x v="0"/>
    <x v="0"/>
    <x v="171"/>
    <x v="57"/>
    <s v="Brian Mitchell"/>
    <x v="3"/>
    <n v="63.62"/>
    <x v="1"/>
  </r>
  <r>
    <n v="1003"/>
    <n v="384"/>
    <s v="Kendra Jones"/>
    <n v="85"/>
    <x v="1"/>
    <x v="0"/>
    <x v="184"/>
    <x v="291"/>
    <s v="Karen Grimes"/>
    <x v="2"/>
    <n v="9752.64"/>
    <x v="1"/>
  </r>
  <r>
    <n v="1042"/>
    <n v="385"/>
    <s v="Anthony Medina"/>
    <n v="60"/>
    <x v="1"/>
    <x v="0"/>
    <x v="234"/>
    <x v="55"/>
    <s v="Richard Walker"/>
    <x v="3"/>
    <n v="47854.080000000002"/>
    <x v="1"/>
  </r>
  <r>
    <n v="1019"/>
    <n v="386"/>
    <s v="Desiree Wilkins"/>
    <n v="34"/>
    <x v="0"/>
    <x v="0"/>
    <x v="55"/>
    <x v="292"/>
    <s v="Jamie Ford"/>
    <x v="0"/>
    <n v="29360.639999999999"/>
    <x v="1"/>
  </r>
  <r>
    <n v="1073"/>
    <n v="387"/>
    <s v="Ashley Cunningham"/>
    <n v="32"/>
    <x v="0"/>
    <x v="0"/>
    <x v="106"/>
    <x v="293"/>
    <s v="Sarah Montgomery"/>
    <x v="2"/>
    <n v="160.05000000000001"/>
    <x v="1"/>
  </r>
  <r>
    <n v="1027"/>
    <n v="388"/>
    <s v="Abigail Townsend"/>
    <n v="54"/>
    <x v="0"/>
    <x v="0"/>
    <x v="249"/>
    <x v="294"/>
    <s v="Allison Salazar"/>
    <x v="3"/>
    <n v="39034.559999999998"/>
    <x v="1"/>
  </r>
  <r>
    <n v="1077"/>
    <n v="389"/>
    <s v="William Roberts Jr."/>
    <n v="21"/>
    <x v="2"/>
    <x v="0"/>
    <x v="18"/>
    <x v="295"/>
    <s v="Savannah Beltran"/>
    <x v="3"/>
    <n v="30256.32"/>
    <x v="0"/>
  </r>
  <r>
    <n v="1052"/>
    <n v="390"/>
    <s v="Christopher Johnson"/>
    <n v="26"/>
    <x v="0"/>
    <x v="0"/>
    <x v="45"/>
    <x v="58"/>
    <s v="Susan Stanton"/>
    <x v="1"/>
    <n v="44273.279999999999"/>
    <x v="1"/>
  </r>
  <r>
    <n v="1062"/>
    <n v="391"/>
    <s v="Roger Holmes"/>
    <n v="85"/>
    <x v="1"/>
    <x v="0"/>
    <x v="250"/>
    <x v="137"/>
    <s v="Paula Stone"/>
    <x v="2"/>
    <n v="206.57"/>
    <x v="1"/>
  </r>
  <r>
    <n v="1056"/>
    <n v="392"/>
    <s v="Courtney Gonzales"/>
    <n v="84"/>
    <x v="1"/>
    <x v="0"/>
    <x v="251"/>
    <x v="162"/>
    <s v="Kayla Norris"/>
    <x v="2"/>
    <n v="36960.959999999999"/>
    <x v="0"/>
  </r>
  <r>
    <n v="1009"/>
    <n v="393"/>
    <s v="Frank Fields"/>
    <n v="30"/>
    <x v="0"/>
    <x v="0"/>
    <x v="11"/>
    <x v="296"/>
    <s v="Heather Diaz"/>
    <x v="0"/>
    <n v="16210.56"/>
    <x v="1"/>
  </r>
  <r>
    <n v="1029"/>
    <n v="394"/>
    <s v="Darren Douglas"/>
    <n v="23"/>
    <x v="0"/>
    <x v="0"/>
    <x v="144"/>
    <x v="297"/>
    <s v="Andrew Gordon"/>
    <x v="3"/>
    <n v="44453.760000000002"/>
    <x v="1"/>
  </r>
  <r>
    <n v="1047"/>
    <n v="395"/>
    <s v="Jerry Jones"/>
    <n v="66"/>
    <x v="1"/>
    <x v="1"/>
    <x v="252"/>
    <x v="298"/>
    <s v="Ashley Gomez"/>
    <x v="0"/>
    <n v="25139.52"/>
    <x v="0"/>
  </r>
  <r>
    <n v="1091"/>
    <n v="396"/>
    <s v="Sheila Barrett"/>
    <n v="25"/>
    <x v="0"/>
    <x v="1"/>
    <x v="178"/>
    <x v="299"/>
    <s v="John Wallace"/>
    <x v="2"/>
    <n v="170.53"/>
    <x v="0"/>
  </r>
  <r>
    <n v="1026"/>
    <n v="397"/>
    <s v="Kim Morris"/>
    <n v="56"/>
    <x v="0"/>
    <x v="0"/>
    <x v="138"/>
    <x v="33"/>
    <s v="Michael Morris"/>
    <x v="0"/>
    <n v="18975.36"/>
    <x v="0"/>
  </r>
  <r>
    <n v="1031"/>
    <n v="398"/>
    <s v="Ronald Taylor"/>
    <n v="43"/>
    <x v="0"/>
    <x v="1"/>
    <x v="117"/>
    <x v="65"/>
    <s v="Vanessa Jackson"/>
    <x v="1"/>
    <n v="25257.599999999999"/>
    <x v="1"/>
  </r>
  <r>
    <n v="1063"/>
    <n v="399"/>
    <s v="Mary Manning"/>
    <n v="48"/>
    <x v="0"/>
    <x v="0"/>
    <x v="253"/>
    <x v="300"/>
    <s v="William Harris"/>
    <x v="3"/>
    <n v="23888.639999999999"/>
    <x v="0"/>
  </r>
  <r>
    <n v="1009"/>
    <n v="400"/>
    <s v="Samantha Hoffman"/>
    <n v="37"/>
    <x v="0"/>
    <x v="1"/>
    <x v="254"/>
    <x v="194"/>
    <s v="Julie Smith"/>
    <x v="2"/>
    <n v="8580.48"/>
    <x v="0"/>
  </r>
  <r>
    <n v="1001"/>
    <n v="401"/>
    <s v="Dave Summers"/>
    <n v="25"/>
    <x v="0"/>
    <x v="0"/>
    <x v="255"/>
    <x v="280"/>
    <s v="Traci Hopkins"/>
    <x v="3"/>
    <n v="20880.96"/>
    <x v="1"/>
  </r>
  <r>
    <n v="1008"/>
    <n v="402"/>
    <s v="Christian Guerrero"/>
    <n v="77"/>
    <x v="1"/>
    <x v="0"/>
    <x v="59"/>
    <x v="301"/>
    <s v="Jennifer Perez"/>
    <x v="2"/>
    <n v="28693.439999999999"/>
    <x v="1"/>
  </r>
  <r>
    <n v="1084"/>
    <n v="403"/>
    <s v="Amy Pierce"/>
    <n v="83"/>
    <x v="1"/>
    <x v="0"/>
    <x v="256"/>
    <x v="1"/>
    <s v="Ian Castillo"/>
    <x v="3"/>
    <n v="30570.240000000002"/>
    <x v="0"/>
  </r>
  <r>
    <n v="1008"/>
    <n v="404"/>
    <s v="Dakota Kelly"/>
    <n v="44"/>
    <x v="0"/>
    <x v="0"/>
    <x v="257"/>
    <x v="302"/>
    <s v="Andre Jones"/>
    <x v="1"/>
    <n v="291.99"/>
    <x v="0"/>
  </r>
  <r>
    <n v="1039"/>
    <n v="405"/>
    <s v="Erin Williams"/>
    <n v="69"/>
    <x v="1"/>
    <x v="0"/>
    <x v="250"/>
    <x v="303"/>
    <s v="Sean Hernandez"/>
    <x v="2"/>
    <n v="15509.76"/>
    <x v="1"/>
  </r>
  <r>
    <n v="1023"/>
    <n v="406"/>
    <s v="Jerry White"/>
    <n v="76"/>
    <x v="1"/>
    <x v="1"/>
    <x v="98"/>
    <x v="304"/>
    <s v="Steven Scott"/>
    <x v="0"/>
    <n v="151.58000000000001"/>
    <x v="1"/>
  </r>
  <r>
    <n v="1004"/>
    <n v="407"/>
    <s v="Joseph Pace"/>
    <n v="67"/>
    <x v="1"/>
    <x v="1"/>
    <x v="258"/>
    <x v="204"/>
    <s v="Lydia Baker"/>
    <x v="1"/>
    <n v="338.13"/>
    <x v="1"/>
  </r>
  <r>
    <n v="1077"/>
    <n v="408"/>
    <s v="David Rose"/>
    <n v="78"/>
    <x v="1"/>
    <x v="1"/>
    <x v="13"/>
    <x v="305"/>
    <s v="Dana Ewing"/>
    <x v="3"/>
    <n v="114.73"/>
    <x v="1"/>
  </r>
  <r>
    <n v="1078"/>
    <n v="409"/>
    <s v="James Gibbs"/>
    <n v="25"/>
    <x v="0"/>
    <x v="0"/>
    <x v="208"/>
    <x v="306"/>
    <s v="Lisa Norris"/>
    <x v="2"/>
    <n v="35381.760000000002"/>
    <x v="0"/>
  </r>
  <r>
    <n v="1054"/>
    <n v="410"/>
    <s v="Lori Henderson"/>
    <n v="50"/>
    <x v="0"/>
    <x v="0"/>
    <x v="159"/>
    <x v="220"/>
    <s v="Terri Stewart"/>
    <x v="0"/>
    <n v="496.31"/>
    <x v="0"/>
  </r>
  <r>
    <n v="1008"/>
    <n v="411"/>
    <s v="Shelly Chavez"/>
    <n v="34"/>
    <x v="0"/>
    <x v="0"/>
    <x v="224"/>
    <x v="307"/>
    <s v="Megan Morales"/>
    <x v="1"/>
    <n v="41419.199999999997"/>
    <x v="0"/>
  </r>
  <r>
    <n v="1074"/>
    <n v="412"/>
    <s v="Rebecca Banks"/>
    <n v="23"/>
    <x v="0"/>
    <x v="1"/>
    <x v="251"/>
    <x v="308"/>
    <s v="April Randall DDS"/>
    <x v="1"/>
    <n v="57.03"/>
    <x v="1"/>
  </r>
  <r>
    <n v="1025"/>
    <n v="413"/>
    <s v="Ashley Rodriguez"/>
    <n v="52"/>
    <x v="0"/>
    <x v="0"/>
    <x v="76"/>
    <x v="309"/>
    <s v="Russell Zimmerman"/>
    <x v="3"/>
    <n v="219.97"/>
    <x v="0"/>
  </r>
  <r>
    <n v="1077"/>
    <n v="414"/>
    <s v="Taylor Patterson"/>
    <n v="58"/>
    <x v="0"/>
    <x v="0"/>
    <x v="228"/>
    <x v="310"/>
    <s v="Ellen Miller"/>
    <x v="1"/>
    <n v="19106.88"/>
    <x v="0"/>
  </r>
  <r>
    <n v="1083"/>
    <n v="415"/>
    <s v="Jessica Rodriguez"/>
    <n v="18"/>
    <x v="2"/>
    <x v="1"/>
    <x v="104"/>
    <x v="91"/>
    <s v="Jeffrey Martin"/>
    <x v="1"/>
    <n v="411.85"/>
    <x v="1"/>
  </r>
  <r>
    <n v="1043"/>
    <n v="416"/>
    <s v="Alexandra Sandoval"/>
    <n v="31"/>
    <x v="0"/>
    <x v="1"/>
    <x v="214"/>
    <x v="311"/>
    <s v="Rachel Moore"/>
    <x v="1"/>
    <n v="198.95"/>
    <x v="0"/>
  </r>
  <r>
    <n v="1058"/>
    <n v="417"/>
    <s v="Mandy Smith"/>
    <n v="64"/>
    <x v="1"/>
    <x v="1"/>
    <x v="151"/>
    <x v="104"/>
    <s v="Brian Olson"/>
    <x v="1"/>
    <n v="246.05"/>
    <x v="1"/>
  </r>
  <r>
    <n v="1097"/>
    <n v="418"/>
    <s v="Dr. Christina Dunn"/>
    <n v="51"/>
    <x v="0"/>
    <x v="0"/>
    <x v="161"/>
    <x v="102"/>
    <s v="Madeline Sharp"/>
    <x v="0"/>
    <n v="381.59"/>
    <x v="0"/>
  </r>
  <r>
    <n v="1075"/>
    <n v="419"/>
    <s v="Megan Williams"/>
    <n v="51"/>
    <x v="0"/>
    <x v="1"/>
    <x v="30"/>
    <x v="312"/>
    <s v="Melissa Khan"/>
    <x v="1"/>
    <n v="456.12"/>
    <x v="0"/>
  </r>
  <r>
    <n v="1036"/>
    <n v="420"/>
    <s v="Michelle Hill"/>
    <n v="82"/>
    <x v="1"/>
    <x v="1"/>
    <x v="146"/>
    <x v="108"/>
    <s v="Rachel Sanchez"/>
    <x v="0"/>
    <n v="371.84"/>
    <x v="1"/>
  </r>
  <r>
    <n v="1015"/>
    <n v="421"/>
    <s v="Leon Anderson"/>
    <n v="63"/>
    <x v="1"/>
    <x v="1"/>
    <x v="150"/>
    <x v="263"/>
    <s v="Mary Chandler"/>
    <x v="1"/>
    <n v="41051.519999999997"/>
    <x v="1"/>
  </r>
  <r>
    <n v="1050"/>
    <n v="422"/>
    <s v="Mallory Martin"/>
    <n v="23"/>
    <x v="0"/>
    <x v="1"/>
    <x v="177"/>
    <x v="313"/>
    <s v="David Whitney"/>
    <x v="2"/>
    <n v="437.95"/>
    <x v="1"/>
  </r>
  <r>
    <n v="1016"/>
    <n v="423"/>
    <s v="Elizabeth Johnson"/>
    <n v="87"/>
    <x v="1"/>
    <x v="0"/>
    <x v="182"/>
    <x v="16"/>
    <s v="Dr. Mary Day"/>
    <x v="0"/>
    <n v="461.32"/>
    <x v="1"/>
  </r>
  <r>
    <n v="1088"/>
    <n v="424"/>
    <s v="Mr. Paul Chavez"/>
    <n v="65"/>
    <x v="1"/>
    <x v="1"/>
    <x v="254"/>
    <x v="314"/>
    <s v="Evan Marquez"/>
    <x v="1"/>
    <n v="15269.76"/>
    <x v="1"/>
  </r>
  <r>
    <n v="1012"/>
    <n v="425"/>
    <s v="Ian Weaver"/>
    <n v="18"/>
    <x v="2"/>
    <x v="0"/>
    <x v="259"/>
    <x v="45"/>
    <s v="Audrey Torres"/>
    <x v="1"/>
    <n v="317.16000000000003"/>
    <x v="1"/>
  </r>
  <r>
    <n v="1071"/>
    <n v="426"/>
    <s v="Brian Riley"/>
    <n v="74"/>
    <x v="1"/>
    <x v="1"/>
    <x v="83"/>
    <x v="263"/>
    <s v="Charles Kemp"/>
    <x v="2"/>
    <n v="14730.24"/>
    <x v="0"/>
  </r>
  <r>
    <n v="1077"/>
    <n v="427"/>
    <s v="Carly Dixon"/>
    <n v="30"/>
    <x v="0"/>
    <x v="1"/>
    <x v="186"/>
    <x v="30"/>
    <s v="Gary Murray"/>
    <x v="3"/>
    <n v="12076.8"/>
    <x v="0"/>
  </r>
  <r>
    <n v="1044"/>
    <n v="428"/>
    <s v="Pamela Bradshaw"/>
    <n v="43"/>
    <x v="0"/>
    <x v="1"/>
    <x v="260"/>
    <x v="315"/>
    <s v="Donald Mitchell"/>
    <x v="0"/>
    <n v="352.94"/>
    <x v="0"/>
  </r>
  <r>
    <n v="1055"/>
    <n v="429"/>
    <s v="Christopher Powell"/>
    <n v="69"/>
    <x v="1"/>
    <x v="1"/>
    <x v="261"/>
    <x v="65"/>
    <s v="Gary Wood"/>
    <x v="3"/>
    <n v="479.37"/>
    <x v="1"/>
  </r>
  <r>
    <n v="1046"/>
    <n v="430"/>
    <s v="Barbara Dalton"/>
    <n v="29"/>
    <x v="0"/>
    <x v="1"/>
    <x v="262"/>
    <x v="274"/>
    <s v="Rachel Holloway"/>
    <x v="2"/>
    <n v="29466.240000000002"/>
    <x v="1"/>
  </r>
  <r>
    <n v="1053"/>
    <n v="431"/>
    <s v="Kenneth Fox"/>
    <n v="86"/>
    <x v="1"/>
    <x v="0"/>
    <x v="263"/>
    <x v="316"/>
    <s v="Kimberly Sullivan"/>
    <x v="0"/>
    <n v="8210.8799999999992"/>
    <x v="1"/>
  </r>
  <r>
    <n v="1047"/>
    <n v="432"/>
    <s v="Danielle Ortega"/>
    <n v="76"/>
    <x v="1"/>
    <x v="1"/>
    <x v="87"/>
    <x v="317"/>
    <s v="Tiffany Lowery"/>
    <x v="3"/>
    <n v="8032.32"/>
    <x v="0"/>
  </r>
  <r>
    <n v="1012"/>
    <n v="433"/>
    <s v="Gregory Hines"/>
    <n v="76"/>
    <x v="1"/>
    <x v="1"/>
    <x v="264"/>
    <x v="318"/>
    <s v="Rebecca Goodwin"/>
    <x v="3"/>
    <n v="255.43"/>
    <x v="0"/>
  </r>
  <r>
    <n v="1091"/>
    <n v="434"/>
    <s v="Scott Walker"/>
    <n v="62"/>
    <x v="1"/>
    <x v="1"/>
    <x v="265"/>
    <x v="319"/>
    <s v="Brianna Hernandez"/>
    <x v="1"/>
    <n v="41628.480000000003"/>
    <x v="1"/>
  </r>
  <r>
    <n v="1034"/>
    <n v="435"/>
    <s v="Teresa Kim"/>
    <n v="71"/>
    <x v="1"/>
    <x v="1"/>
    <x v="92"/>
    <x v="128"/>
    <s v="Gregory Brown"/>
    <x v="1"/>
    <n v="461.04"/>
    <x v="0"/>
  </r>
  <r>
    <n v="1063"/>
    <n v="436"/>
    <s v="Stacy Clements"/>
    <n v="75"/>
    <x v="1"/>
    <x v="0"/>
    <x v="266"/>
    <x v="192"/>
    <s v="Cynthia Dunn"/>
    <x v="2"/>
    <n v="96.19"/>
    <x v="1"/>
  </r>
  <r>
    <n v="1045"/>
    <n v="437"/>
    <s v="Beth Stephens"/>
    <n v="24"/>
    <x v="0"/>
    <x v="0"/>
    <x v="267"/>
    <x v="320"/>
    <s v="Scott Nguyen"/>
    <x v="0"/>
    <n v="246.63"/>
    <x v="0"/>
  </r>
  <r>
    <n v="1028"/>
    <n v="438"/>
    <s v="Michael Heath"/>
    <n v="88"/>
    <x v="1"/>
    <x v="1"/>
    <x v="268"/>
    <x v="58"/>
    <s v="Benjamin Brown"/>
    <x v="2"/>
    <n v="256.58999999999997"/>
    <x v="1"/>
  </r>
  <r>
    <n v="1025"/>
    <n v="439"/>
    <s v="James Malone"/>
    <n v="84"/>
    <x v="1"/>
    <x v="0"/>
    <x v="269"/>
    <x v="321"/>
    <s v="Rhonda Oconnor"/>
    <x v="1"/>
    <n v="31376.639999999999"/>
    <x v="1"/>
  </r>
  <r>
    <n v="1036"/>
    <n v="440"/>
    <s v="Katie Mcdaniel"/>
    <n v="76"/>
    <x v="1"/>
    <x v="0"/>
    <x v="270"/>
    <x v="292"/>
    <s v="Aaron Perkins"/>
    <x v="0"/>
    <n v="13129.92"/>
    <x v="1"/>
  </r>
  <r>
    <n v="1085"/>
    <n v="441"/>
    <s v="Jonathan Howell"/>
    <n v="63"/>
    <x v="1"/>
    <x v="1"/>
    <x v="146"/>
    <x v="224"/>
    <s v="Darryl Case"/>
    <x v="3"/>
    <n v="421.18"/>
    <x v="1"/>
  </r>
  <r>
    <n v="1075"/>
    <n v="442"/>
    <s v="Christine Barron"/>
    <n v="59"/>
    <x v="0"/>
    <x v="1"/>
    <x v="222"/>
    <x v="322"/>
    <s v="Thomas Clark MD"/>
    <x v="2"/>
    <n v="107.04"/>
    <x v="1"/>
  </r>
  <r>
    <n v="1051"/>
    <n v="443"/>
    <s v="Victoria Gilbert"/>
    <n v="64"/>
    <x v="1"/>
    <x v="0"/>
    <x v="67"/>
    <x v="90"/>
    <s v="April Spears"/>
    <x v="2"/>
    <n v="37449.599999999999"/>
    <x v="0"/>
  </r>
  <r>
    <n v="1074"/>
    <n v="444"/>
    <s v="Eugene Underwood"/>
    <n v="80"/>
    <x v="1"/>
    <x v="1"/>
    <x v="5"/>
    <x v="323"/>
    <s v="Benjamin Williams"/>
    <x v="1"/>
    <n v="467.55"/>
    <x v="0"/>
  </r>
  <r>
    <n v="1049"/>
    <n v="445"/>
    <s v="Jessica Murray"/>
    <n v="20"/>
    <x v="2"/>
    <x v="1"/>
    <x v="90"/>
    <x v="76"/>
    <s v="James Harris"/>
    <x v="0"/>
    <n v="184.38"/>
    <x v="0"/>
  </r>
  <r>
    <n v="1021"/>
    <n v="446"/>
    <s v="William Villarreal"/>
    <n v="80"/>
    <x v="1"/>
    <x v="1"/>
    <x v="271"/>
    <x v="324"/>
    <s v="Ronald Davis"/>
    <x v="3"/>
    <n v="25857.599999999999"/>
    <x v="1"/>
  </r>
  <r>
    <n v="1069"/>
    <n v="447"/>
    <s v="Monica Jones"/>
    <n v="18"/>
    <x v="2"/>
    <x v="1"/>
    <x v="272"/>
    <x v="217"/>
    <s v="Cheryl Bailey"/>
    <x v="2"/>
    <n v="363.94"/>
    <x v="0"/>
  </r>
  <r>
    <n v="1036"/>
    <n v="448"/>
    <s v="Cameron Lopez"/>
    <n v="44"/>
    <x v="0"/>
    <x v="0"/>
    <x v="96"/>
    <x v="118"/>
    <s v="Christopher Williams"/>
    <x v="3"/>
    <n v="15648"/>
    <x v="1"/>
  </r>
  <r>
    <n v="1063"/>
    <n v="449"/>
    <s v="Daniel Green"/>
    <n v="32"/>
    <x v="0"/>
    <x v="1"/>
    <x v="227"/>
    <x v="325"/>
    <s v="James Fox"/>
    <x v="3"/>
    <n v="254.14"/>
    <x v="1"/>
  </r>
  <r>
    <n v="1081"/>
    <n v="450"/>
    <s v="William Hatfield"/>
    <n v="32"/>
    <x v="0"/>
    <x v="1"/>
    <x v="156"/>
    <x v="326"/>
    <s v="Kristen Lopez"/>
    <x v="1"/>
    <n v="10827.84"/>
    <x v="0"/>
  </r>
  <r>
    <n v="1042"/>
    <n v="451"/>
    <s v="Dawn Bryant"/>
    <n v="48"/>
    <x v="0"/>
    <x v="0"/>
    <x v="273"/>
    <x v="327"/>
    <s v="Charles Nguyen"/>
    <x v="2"/>
    <n v="164.15"/>
    <x v="1"/>
  </r>
  <r>
    <n v="1002"/>
    <n v="452"/>
    <s v="Bailey Williamson"/>
    <n v="88"/>
    <x v="1"/>
    <x v="0"/>
    <x v="272"/>
    <x v="31"/>
    <s v="George Singleton"/>
    <x v="2"/>
    <n v="35378.879999999997"/>
    <x v="0"/>
  </r>
  <r>
    <n v="1047"/>
    <n v="453"/>
    <s v="Jeffrey Johnston"/>
    <n v="36"/>
    <x v="0"/>
    <x v="1"/>
    <x v="232"/>
    <x v="45"/>
    <s v="Cynthia Baker"/>
    <x v="3"/>
    <n v="240.37"/>
    <x v="0"/>
  </r>
  <r>
    <n v="1072"/>
    <n v="454"/>
    <s v="Kristin Combs"/>
    <n v="38"/>
    <x v="0"/>
    <x v="0"/>
    <x v="58"/>
    <x v="160"/>
    <s v="Frank Anderson"/>
    <x v="0"/>
    <n v="279.32"/>
    <x v="0"/>
  </r>
  <r>
    <n v="1085"/>
    <n v="455"/>
    <s v="Alex Rowe"/>
    <n v="34"/>
    <x v="0"/>
    <x v="1"/>
    <x v="150"/>
    <x v="115"/>
    <s v="Derek Doyle"/>
    <x v="2"/>
    <n v="114.8"/>
    <x v="0"/>
  </r>
  <r>
    <n v="1028"/>
    <n v="456"/>
    <s v="Rebecca Franklin"/>
    <n v="43"/>
    <x v="0"/>
    <x v="0"/>
    <x v="274"/>
    <x v="84"/>
    <s v="Daniel Love"/>
    <x v="1"/>
    <n v="187.7"/>
    <x v="1"/>
  </r>
  <r>
    <n v="1049"/>
    <n v="457"/>
    <s v="Megan Russell"/>
    <n v="84"/>
    <x v="1"/>
    <x v="1"/>
    <x v="92"/>
    <x v="105"/>
    <s v="Autumn Hill"/>
    <x v="2"/>
    <n v="34480.32"/>
    <x v="1"/>
  </r>
  <r>
    <n v="1076"/>
    <n v="458"/>
    <s v="Sarah Wilson"/>
    <n v="79"/>
    <x v="1"/>
    <x v="1"/>
    <x v="275"/>
    <x v="328"/>
    <s v="Courtney Foley"/>
    <x v="3"/>
    <n v="11587.2"/>
    <x v="1"/>
  </r>
  <r>
    <n v="1068"/>
    <n v="459"/>
    <s v="William Bentley"/>
    <n v="42"/>
    <x v="0"/>
    <x v="1"/>
    <x v="73"/>
    <x v="329"/>
    <s v="Jacob Mckay"/>
    <x v="1"/>
    <n v="25276.799999999999"/>
    <x v="1"/>
  </r>
  <r>
    <n v="1047"/>
    <n v="460"/>
    <s v="Patricia Jackson"/>
    <n v="76"/>
    <x v="1"/>
    <x v="0"/>
    <x v="55"/>
    <x v="225"/>
    <s v="Jennifer Martin"/>
    <x v="2"/>
    <n v="378.92"/>
    <x v="0"/>
  </r>
  <r>
    <n v="1017"/>
    <n v="461"/>
    <s v="Erin Bates"/>
    <n v="50"/>
    <x v="0"/>
    <x v="1"/>
    <x v="276"/>
    <x v="195"/>
    <s v="Chelsea Harris"/>
    <x v="2"/>
    <n v="35532.480000000003"/>
    <x v="1"/>
  </r>
  <r>
    <n v="1068"/>
    <n v="462"/>
    <s v="Aaron Holder"/>
    <n v="19"/>
    <x v="2"/>
    <x v="1"/>
    <x v="188"/>
    <x v="198"/>
    <s v="Lauren Ayers"/>
    <x v="0"/>
    <n v="377.38"/>
    <x v="1"/>
  </r>
  <r>
    <n v="1082"/>
    <n v="463"/>
    <s v="Thomas Roman"/>
    <n v="64"/>
    <x v="1"/>
    <x v="0"/>
    <x v="277"/>
    <x v="48"/>
    <s v="Robert Bass"/>
    <x v="0"/>
    <n v="200.43"/>
    <x v="1"/>
  </r>
  <r>
    <n v="1008"/>
    <n v="464"/>
    <s v="Jack Cooper"/>
    <n v="67"/>
    <x v="1"/>
    <x v="0"/>
    <x v="278"/>
    <x v="161"/>
    <s v="Christopher Smith"/>
    <x v="0"/>
    <n v="244.49"/>
    <x v="0"/>
  </r>
  <r>
    <n v="1088"/>
    <n v="465"/>
    <s v="Michael Sullivan"/>
    <n v="65"/>
    <x v="1"/>
    <x v="0"/>
    <x v="152"/>
    <x v="330"/>
    <s v="Anthony Mccoy"/>
    <x v="1"/>
    <n v="41755.19999999999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921B46-620E-458F-AB6A-4D3332F91B50}"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3:D9" firstHeaderRow="1" firstDataRow="2" firstDataCol="1"/>
  <pivotFields count="18">
    <pivotField showAll="0"/>
    <pivotField showAll="0"/>
    <pivotField showAll="0"/>
    <pivotField showAll="0"/>
    <pivotField showAll="0"/>
    <pivotField axis="axisCol" dataField="1" showAll="0">
      <items count="3">
        <item x="0"/>
        <item x="1"/>
        <item t="default"/>
      </items>
    </pivotField>
    <pivotField numFmtId="14" showAll="0">
      <items count="280">
        <item x="62"/>
        <item x="51"/>
        <item x="237"/>
        <item x="193"/>
        <item x="266"/>
        <item x="42"/>
        <item x="238"/>
        <item x="81"/>
        <item x="93"/>
        <item x="234"/>
        <item x="261"/>
        <item x="143"/>
        <item x="260"/>
        <item x="80"/>
        <item x="192"/>
        <item x="27"/>
        <item x="262"/>
        <item x="67"/>
        <item x="278"/>
        <item x="236"/>
        <item x="196"/>
        <item x="151"/>
        <item x="187"/>
        <item x="179"/>
        <item x="235"/>
        <item x="204"/>
        <item x="104"/>
        <item x="218"/>
        <item x="1"/>
        <item x="57"/>
        <item x="125"/>
        <item x="96"/>
        <item x="66"/>
        <item x="122"/>
        <item x="56"/>
        <item x="76"/>
        <item x="248"/>
        <item x="10"/>
        <item x="202"/>
        <item x="72"/>
        <item x="110"/>
        <item x="8"/>
        <item x="89"/>
        <item x="0"/>
        <item x="212"/>
        <item x="210"/>
        <item x="119"/>
        <item x="220"/>
        <item x="19"/>
        <item x="75"/>
        <item x="251"/>
        <item x="79"/>
        <item x="186"/>
        <item x="105"/>
        <item x="175"/>
        <item x="78"/>
        <item x="159"/>
        <item x="15"/>
        <item x="46"/>
        <item x="130"/>
        <item x="166"/>
        <item x="206"/>
        <item x="276"/>
        <item x="273"/>
        <item x="271"/>
        <item x="142"/>
        <item x="124"/>
        <item x="203"/>
        <item x="101"/>
        <item x="153"/>
        <item x="115"/>
        <item x="219"/>
        <item x="49"/>
        <item x="11"/>
        <item x="129"/>
        <item x="135"/>
        <item x="241"/>
        <item x="133"/>
        <item x="274"/>
        <item x="152"/>
        <item x="227"/>
        <item x="97"/>
        <item x="140"/>
        <item x="25"/>
        <item x="189"/>
        <item x="158"/>
        <item x="190"/>
        <item x="31"/>
        <item x="164"/>
        <item x="254"/>
        <item x="147"/>
        <item x="195"/>
        <item x="256"/>
        <item x="71"/>
        <item x="184"/>
        <item x="4"/>
        <item x="199"/>
        <item x="185"/>
        <item x="26"/>
        <item x="24"/>
        <item x="217"/>
        <item x="28"/>
        <item x="176"/>
        <item x="146"/>
        <item x="128"/>
        <item x="22"/>
        <item x="201"/>
        <item x="18"/>
        <item x="87"/>
        <item x="98"/>
        <item x="252"/>
        <item x="2"/>
        <item x="83"/>
        <item x="148"/>
        <item x="113"/>
        <item x="207"/>
        <item x="117"/>
        <item x="88"/>
        <item x="181"/>
        <item x="41"/>
        <item x="160"/>
        <item x="17"/>
        <item x="172"/>
        <item x="183"/>
        <item x="161"/>
        <item x="155"/>
        <item x="277"/>
        <item x="16"/>
        <item x="145"/>
        <item x="174"/>
        <item x="112"/>
        <item x="63"/>
        <item x="43"/>
        <item x="269"/>
        <item x="168"/>
        <item x="231"/>
        <item x="61"/>
        <item x="21"/>
        <item x="136"/>
        <item x="6"/>
        <item x="100"/>
        <item x="257"/>
        <item x="69"/>
        <item x="32"/>
        <item x="224"/>
        <item x="263"/>
        <item x="7"/>
        <item x="163"/>
        <item x="272"/>
        <item x="86"/>
        <item x="103"/>
        <item x="73"/>
        <item x="34"/>
        <item x="194"/>
        <item x="162"/>
        <item x="68"/>
        <item x="70"/>
        <item x="177"/>
        <item x="58"/>
        <item x="268"/>
        <item x="229"/>
        <item x="45"/>
        <item x="65"/>
        <item x="35"/>
        <item x="102"/>
        <item x="60"/>
        <item x="44"/>
        <item x="121"/>
        <item x="13"/>
        <item x="198"/>
        <item x="5"/>
        <item x="30"/>
        <item x="74"/>
        <item x="191"/>
        <item x="126"/>
        <item x="208"/>
        <item x="173"/>
        <item x="178"/>
        <item x="258"/>
        <item x="214"/>
        <item x="52"/>
        <item x="39"/>
        <item x="221"/>
        <item x="246"/>
        <item x="77"/>
        <item x="233"/>
        <item x="150"/>
        <item x="53"/>
        <item x="211"/>
        <item x="245"/>
        <item x="267"/>
        <item x="244"/>
        <item x="225"/>
        <item x="99"/>
        <item x="20"/>
        <item x="127"/>
        <item x="29"/>
        <item x="249"/>
        <item x="38"/>
        <item x="169"/>
        <item x="14"/>
        <item x="120"/>
        <item x="149"/>
        <item x="138"/>
        <item x="205"/>
        <item x="139"/>
        <item x="167"/>
        <item x="226"/>
        <item x="111"/>
        <item x="92"/>
        <item x="54"/>
        <item x="50"/>
        <item x="90"/>
        <item x="141"/>
        <item x="197"/>
        <item x="64"/>
        <item x="215"/>
        <item x="132"/>
        <item x="108"/>
        <item x="59"/>
        <item x="165"/>
        <item x="91"/>
        <item x="270"/>
        <item x="247"/>
        <item x="94"/>
        <item x="259"/>
        <item x="239"/>
        <item x="232"/>
        <item x="106"/>
        <item x="253"/>
        <item x="182"/>
        <item x="116"/>
        <item x="188"/>
        <item x="23"/>
        <item x="240"/>
        <item x="9"/>
        <item x="144"/>
        <item x="230"/>
        <item x="250"/>
        <item x="82"/>
        <item x="171"/>
        <item x="255"/>
        <item x="123"/>
        <item x="107"/>
        <item x="95"/>
        <item x="48"/>
        <item x="131"/>
        <item x="47"/>
        <item x="33"/>
        <item x="275"/>
        <item x="216"/>
        <item x="137"/>
        <item x="200"/>
        <item x="40"/>
        <item x="156"/>
        <item x="55"/>
        <item x="114"/>
        <item x="36"/>
        <item x="118"/>
        <item x="223"/>
        <item x="157"/>
        <item x="3"/>
        <item x="209"/>
        <item x="109"/>
        <item x="134"/>
        <item x="37"/>
        <item x="170"/>
        <item x="154"/>
        <item x="222"/>
        <item x="265"/>
        <item x="228"/>
        <item x="243"/>
        <item x="213"/>
        <item x="242"/>
        <item x="264"/>
        <item x="84"/>
        <item x="85"/>
        <item x="12"/>
        <item x="180"/>
        <item t="default"/>
      </items>
    </pivotField>
    <pivotField numFmtId="14" showAll="0">
      <items count="332">
        <item x="281"/>
        <item x="259"/>
        <item x="241"/>
        <item x="265"/>
        <item x="79"/>
        <item x="71"/>
        <item x="152"/>
        <item x="147"/>
        <item x="121"/>
        <item x="146"/>
        <item x="182"/>
        <item x="108"/>
        <item x="209"/>
        <item x="10"/>
        <item x="287"/>
        <item x="132"/>
        <item x="232"/>
        <item x="185"/>
        <item x="330"/>
        <item x="131"/>
        <item x="186"/>
        <item x="97"/>
        <item x="3"/>
        <item x="123"/>
        <item x="128"/>
        <item x="174"/>
        <item x="116"/>
        <item x="4"/>
        <item x="298"/>
        <item x="217"/>
        <item x="17"/>
        <item x="190"/>
        <item x="65"/>
        <item x="107"/>
        <item x="84"/>
        <item x="148"/>
        <item x="96"/>
        <item x="40"/>
        <item x="68"/>
        <item x="62"/>
        <item x="7"/>
        <item x="93"/>
        <item x="183"/>
        <item x="140"/>
        <item x="205"/>
        <item x="274"/>
        <item x="24"/>
        <item x="237"/>
        <item x="74"/>
        <item x="35"/>
        <item x="133"/>
        <item x="254"/>
        <item x="102"/>
        <item x="101"/>
        <item x="221"/>
        <item x="111"/>
        <item x="165"/>
        <item x="161"/>
        <item x="266"/>
        <item x="120"/>
        <item x="184"/>
        <item x="301"/>
        <item x="272"/>
        <item x="295"/>
        <item x="9"/>
        <item x="264"/>
        <item x="315"/>
        <item x="12"/>
        <item x="59"/>
        <item x="247"/>
        <item x="48"/>
        <item x="20"/>
        <item x="90"/>
        <item x="64"/>
        <item x="282"/>
        <item x="82"/>
        <item x="260"/>
        <item x="170"/>
        <item x="129"/>
        <item x="212"/>
        <item x="218"/>
        <item x="328"/>
        <item x="22"/>
        <item x="316"/>
        <item x="88"/>
        <item x="141"/>
        <item x="261"/>
        <item x="207"/>
        <item x="324"/>
        <item x="127"/>
        <item x="36"/>
        <item x="277"/>
        <item x="213"/>
        <item x="47"/>
        <item x="279"/>
        <item x="258"/>
        <item x="253"/>
        <item x="75"/>
        <item x="244"/>
        <item x="91"/>
        <item x="206"/>
        <item x="0"/>
        <item x="153"/>
        <item x="196"/>
        <item x="37"/>
        <item x="223"/>
        <item x="138"/>
        <item x="136"/>
        <item x="306"/>
        <item x="19"/>
        <item x="263"/>
        <item x="248"/>
        <item x="77"/>
        <item x="130"/>
        <item x="14"/>
        <item x="60"/>
        <item x="113"/>
        <item x="23"/>
        <item x="291"/>
        <item x="61"/>
        <item x="303"/>
        <item x="240"/>
        <item x="231"/>
        <item x="251"/>
        <item x="81"/>
        <item x="239"/>
        <item x="267"/>
        <item x="54"/>
        <item x="162"/>
        <item x="149"/>
        <item x="224"/>
        <item x="13"/>
        <item x="309"/>
        <item x="2"/>
        <item x="192"/>
        <item x="86"/>
        <item x="55"/>
        <item x="106"/>
        <item x="302"/>
        <item x="199"/>
        <item x="225"/>
        <item x="41"/>
        <item x="178"/>
        <item x="158"/>
        <item x="198"/>
        <item x="293"/>
        <item x="271"/>
        <item x="5"/>
        <item x="139"/>
        <item x="85"/>
        <item x="70"/>
        <item x="110"/>
        <item x="8"/>
        <item x="16"/>
        <item x="289"/>
        <item x="160"/>
        <item x="118"/>
        <item x="6"/>
        <item x="46"/>
        <item x="220"/>
        <item x="270"/>
        <item x="122"/>
        <item x="137"/>
        <item x="92"/>
        <item x="250"/>
        <item x="109"/>
        <item x="242"/>
        <item x="230"/>
        <item x="325"/>
        <item x="249"/>
        <item x="45"/>
        <item x="135"/>
        <item x="50"/>
        <item x="195"/>
        <item x="155"/>
        <item x="308"/>
        <item x="280"/>
        <item x="169"/>
        <item x="233"/>
        <item x="143"/>
        <item x="30"/>
        <item x="164"/>
        <item x="150"/>
        <item x="187"/>
        <item x="29"/>
        <item x="314"/>
        <item x="188"/>
        <item x="204"/>
        <item x="103"/>
        <item x="255"/>
        <item x="67"/>
        <item x="262"/>
        <item x="73"/>
        <item x="83"/>
        <item x="243"/>
        <item x="154"/>
        <item x="80"/>
        <item x="283"/>
        <item x="28"/>
        <item x="119"/>
        <item x="294"/>
        <item x="268"/>
        <item x="163"/>
        <item x="194"/>
        <item x="144"/>
        <item x="49"/>
        <item x="227"/>
        <item x="327"/>
        <item x="58"/>
        <item x="26"/>
        <item x="72"/>
        <item x="246"/>
        <item x="172"/>
        <item x="1"/>
        <item x="87"/>
        <item x="329"/>
        <item x="134"/>
        <item x="104"/>
        <item x="238"/>
        <item x="181"/>
        <item x="69"/>
        <item x="228"/>
        <item x="269"/>
        <item x="320"/>
        <item x="326"/>
        <item x="234"/>
        <item x="290"/>
        <item x="99"/>
        <item x="151"/>
        <item x="159"/>
        <item x="191"/>
        <item x="39"/>
        <item x="21"/>
        <item x="211"/>
        <item x="307"/>
        <item x="25"/>
        <item x="100"/>
        <item x="117"/>
        <item x="273"/>
        <item x="175"/>
        <item x="63"/>
        <item x="18"/>
        <item x="216"/>
        <item x="222"/>
        <item x="52"/>
        <item x="323"/>
        <item x="296"/>
        <item x="31"/>
        <item x="288"/>
        <item x="203"/>
        <item x="57"/>
        <item x="98"/>
        <item x="286"/>
        <item x="11"/>
        <item x="94"/>
        <item x="173"/>
        <item x="236"/>
        <item x="168"/>
        <item x="317"/>
        <item x="115"/>
        <item x="321"/>
        <item x="43"/>
        <item x="180"/>
        <item x="256"/>
        <item x="313"/>
        <item x="76"/>
        <item x="33"/>
        <item x="34"/>
        <item x="157"/>
        <item x="252"/>
        <item x="200"/>
        <item x="167"/>
        <item x="56"/>
        <item x="32"/>
        <item x="124"/>
        <item x="305"/>
        <item x="38"/>
        <item x="15"/>
        <item x="114"/>
        <item x="284"/>
        <item x="42"/>
        <item x="292"/>
        <item x="89"/>
        <item x="105"/>
        <item x="276"/>
        <item x="142"/>
        <item x="95"/>
        <item x="215"/>
        <item x="304"/>
        <item x="311"/>
        <item x="176"/>
        <item x="278"/>
        <item x="257"/>
        <item x="78"/>
        <item x="51"/>
        <item x="208"/>
        <item x="297"/>
        <item x="171"/>
        <item x="214"/>
        <item x="27"/>
        <item x="235"/>
        <item x="145"/>
        <item x="210"/>
        <item x="126"/>
        <item x="44"/>
        <item x="202"/>
        <item x="245"/>
        <item x="156"/>
        <item x="300"/>
        <item x="229"/>
        <item x="312"/>
        <item x="166"/>
        <item x="310"/>
        <item x="189"/>
        <item x="193"/>
        <item x="226"/>
        <item x="179"/>
        <item x="299"/>
        <item x="219"/>
        <item x="319"/>
        <item x="66"/>
        <item x="285"/>
        <item x="112"/>
        <item x="53"/>
        <item x="322"/>
        <item x="125"/>
        <item x="177"/>
        <item x="318"/>
        <item x="201"/>
        <item x="197"/>
        <item x="275"/>
        <item t="default"/>
      </items>
    </pivotField>
    <pivotField showAll="0"/>
    <pivotField axis="axisRow" showAll="0">
      <items count="5">
        <item x="2"/>
        <item x="0"/>
        <item x="1"/>
        <item x="3"/>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9"/>
  </rowFields>
  <rowItems count="5">
    <i>
      <x/>
    </i>
    <i>
      <x v="1"/>
    </i>
    <i>
      <x v="2"/>
    </i>
    <i>
      <x v="3"/>
    </i>
    <i t="grand">
      <x/>
    </i>
  </rowItems>
  <colFields count="1">
    <field x="5"/>
  </colFields>
  <colItems count="3">
    <i>
      <x/>
    </i>
    <i>
      <x v="1"/>
    </i>
    <i t="grand">
      <x/>
    </i>
  </colItems>
  <dataFields count="1">
    <dataField name="Count of gender" fld="5" subtotal="count" baseField="0" baseItem="0"/>
  </dataFields>
  <chartFormats count="4">
    <chartFormat chart="7" format="2" series="1">
      <pivotArea type="data" outline="0" fieldPosition="0">
        <references count="2">
          <reference field="4294967294" count="1" selected="0">
            <x v="0"/>
          </reference>
          <reference field="5" count="1" selected="0">
            <x v="0"/>
          </reference>
        </references>
      </pivotArea>
    </chartFormat>
    <chartFormat chart="7" format="3" series="1">
      <pivotArea type="data" outline="0" fieldPosition="0">
        <references count="2">
          <reference field="4294967294" count="1" selected="0">
            <x v="0"/>
          </reference>
          <reference field="5" count="1" selected="0">
            <x v="1"/>
          </reference>
        </references>
      </pivotArea>
    </chartFormat>
    <chartFormat chart="6" format="10" series="1">
      <pivotArea type="data" outline="0" fieldPosition="0">
        <references count="2">
          <reference field="4294967294" count="1" selected="0">
            <x v="0"/>
          </reference>
          <reference field="5" count="1" selected="0">
            <x v="0"/>
          </reference>
        </references>
      </pivotArea>
    </chartFormat>
    <chartFormat chart="6" format="11"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6C294F-76C4-47E2-A683-C3E32D3D6C80}"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6">
  <location ref="A1:B6" firstHeaderRow="1" firstDataRow="1" firstDataCol="1"/>
  <pivotFields count="18">
    <pivotField showAll="0"/>
    <pivotField showAll="0"/>
    <pivotField showAll="0"/>
    <pivotField showAll="0"/>
    <pivotField showAll="0"/>
    <pivotField showAll="0"/>
    <pivotField numFmtId="14" showAll="0">
      <items count="280">
        <item x="62"/>
        <item x="51"/>
        <item x="237"/>
        <item x="193"/>
        <item x="266"/>
        <item x="42"/>
        <item x="238"/>
        <item x="81"/>
        <item x="93"/>
        <item x="234"/>
        <item x="261"/>
        <item x="143"/>
        <item x="260"/>
        <item x="80"/>
        <item x="192"/>
        <item x="27"/>
        <item x="262"/>
        <item x="67"/>
        <item x="278"/>
        <item x="236"/>
        <item x="196"/>
        <item x="151"/>
        <item x="187"/>
        <item x="179"/>
        <item x="235"/>
        <item x="204"/>
        <item x="104"/>
        <item x="218"/>
        <item x="1"/>
        <item x="57"/>
        <item x="125"/>
        <item x="96"/>
        <item x="66"/>
        <item x="122"/>
        <item x="56"/>
        <item x="76"/>
        <item x="248"/>
        <item x="10"/>
        <item x="202"/>
        <item x="72"/>
        <item x="110"/>
        <item x="8"/>
        <item x="89"/>
        <item x="0"/>
        <item x="212"/>
        <item x="210"/>
        <item x="119"/>
        <item x="220"/>
        <item x="19"/>
        <item x="75"/>
        <item x="251"/>
        <item x="79"/>
        <item x="186"/>
        <item x="105"/>
        <item x="175"/>
        <item x="78"/>
        <item x="159"/>
        <item x="15"/>
        <item x="46"/>
        <item x="130"/>
        <item x="166"/>
        <item x="206"/>
        <item x="276"/>
        <item x="273"/>
        <item x="271"/>
        <item x="142"/>
        <item x="124"/>
        <item x="203"/>
        <item x="101"/>
        <item x="153"/>
        <item x="115"/>
        <item x="219"/>
        <item x="49"/>
        <item x="11"/>
        <item x="129"/>
        <item x="135"/>
        <item x="241"/>
        <item x="133"/>
        <item x="274"/>
        <item x="152"/>
        <item x="227"/>
        <item x="97"/>
        <item x="140"/>
        <item x="25"/>
        <item x="189"/>
        <item x="158"/>
        <item x="190"/>
        <item x="31"/>
        <item x="164"/>
        <item x="254"/>
        <item x="147"/>
        <item x="195"/>
        <item x="256"/>
        <item x="71"/>
        <item x="184"/>
        <item x="4"/>
        <item x="199"/>
        <item x="185"/>
        <item x="26"/>
        <item x="24"/>
        <item x="217"/>
        <item x="28"/>
        <item x="176"/>
        <item x="146"/>
        <item x="128"/>
        <item x="22"/>
        <item x="201"/>
        <item x="18"/>
        <item x="87"/>
        <item x="98"/>
        <item x="252"/>
        <item x="2"/>
        <item x="83"/>
        <item x="148"/>
        <item x="113"/>
        <item x="207"/>
        <item x="117"/>
        <item x="88"/>
        <item x="181"/>
        <item x="41"/>
        <item x="160"/>
        <item x="17"/>
        <item x="172"/>
        <item x="183"/>
        <item x="161"/>
        <item x="155"/>
        <item x="277"/>
        <item x="16"/>
        <item x="145"/>
        <item x="174"/>
        <item x="112"/>
        <item x="63"/>
        <item x="43"/>
        <item x="269"/>
        <item x="168"/>
        <item x="231"/>
        <item x="61"/>
        <item x="21"/>
        <item x="136"/>
        <item x="6"/>
        <item x="100"/>
        <item x="257"/>
        <item x="69"/>
        <item x="32"/>
        <item x="224"/>
        <item x="263"/>
        <item x="7"/>
        <item x="163"/>
        <item x="272"/>
        <item x="86"/>
        <item x="103"/>
        <item x="73"/>
        <item x="34"/>
        <item x="194"/>
        <item x="162"/>
        <item x="68"/>
        <item x="70"/>
        <item x="177"/>
        <item x="58"/>
        <item x="268"/>
        <item x="229"/>
        <item x="45"/>
        <item x="65"/>
        <item x="35"/>
        <item x="102"/>
        <item x="60"/>
        <item x="44"/>
        <item x="121"/>
        <item x="13"/>
        <item x="198"/>
        <item x="5"/>
        <item x="30"/>
        <item x="74"/>
        <item x="191"/>
        <item x="126"/>
        <item x="208"/>
        <item x="173"/>
        <item x="178"/>
        <item x="258"/>
        <item x="214"/>
        <item x="52"/>
        <item x="39"/>
        <item x="221"/>
        <item x="246"/>
        <item x="77"/>
        <item x="233"/>
        <item x="150"/>
        <item x="53"/>
        <item x="211"/>
        <item x="245"/>
        <item x="267"/>
        <item x="244"/>
        <item x="225"/>
        <item x="99"/>
        <item x="20"/>
        <item x="127"/>
        <item x="29"/>
        <item x="249"/>
        <item x="38"/>
        <item x="169"/>
        <item x="14"/>
        <item x="120"/>
        <item x="149"/>
        <item x="138"/>
        <item x="205"/>
        <item x="139"/>
        <item x="167"/>
        <item x="226"/>
        <item x="111"/>
        <item x="92"/>
        <item x="54"/>
        <item x="50"/>
        <item x="90"/>
        <item x="141"/>
        <item x="197"/>
        <item x="64"/>
        <item x="215"/>
        <item x="132"/>
        <item x="108"/>
        <item x="59"/>
        <item x="165"/>
        <item x="91"/>
        <item x="270"/>
        <item x="247"/>
        <item x="94"/>
        <item x="259"/>
        <item x="239"/>
        <item x="232"/>
        <item x="106"/>
        <item x="253"/>
        <item x="182"/>
        <item x="116"/>
        <item x="188"/>
        <item x="23"/>
        <item x="240"/>
        <item x="9"/>
        <item x="144"/>
        <item x="230"/>
        <item x="250"/>
        <item x="82"/>
        <item x="171"/>
        <item x="255"/>
        <item x="123"/>
        <item x="107"/>
        <item x="95"/>
        <item x="48"/>
        <item x="131"/>
        <item x="47"/>
        <item x="33"/>
        <item x="275"/>
        <item x="216"/>
        <item x="137"/>
        <item x="200"/>
        <item x="40"/>
        <item x="156"/>
        <item x="55"/>
        <item x="114"/>
        <item x="36"/>
        <item x="118"/>
        <item x="223"/>
        <item x="157"/>
        <item x="3"/>
        <item x="209"/>
        <item x="109"/>
        <item x="134"/>
        <item x="37"/>
        <item x="170"/>
        <item x="154"/>
        <item x="222"/>
        <item x="265"/>
        <item x="228"/>
        <item x="243"/>
        <item x="213"/>
        <item x="242"/>
        <item x="264"/>
        <item x="84"/>
        <item x="85"/>
        <item x="12"/>
        <item x="180"/>
        <item t="default"/>
      </items>
    </pivotField>
    <pivotField numFmtId="14" showAll="0">
      <items count="332">
        <item x="281"/>
        <item x="259"/>
        <item x="241"/>
        <item x="265"/>
        <item x="79"/>
        <item x="71"/>
        <item x="152"/>
        <item x="147"/>
        <item x="121"/>
        <item x="146"/>
        <item x="182"/>
        <item x="108"/>
        <item x="209"/>
        <item x="10"/>
        <item x="287"/>
        <item x="132"/>
        <item x="232"/>
        <item x="185"/>
        <item x="330"/>
        <item x="131"/>
        <item x="186"/>
        <item x="97"/>
        <item x="3"/>
        <item x="123"/>
        <item x="128"/>
        <item x="174"/>
        <item x="116"/>
        <item x="4"/>
        <item x="298"/>
        <item x="217"/>
        <item x="17"/>
        <item x="190"/>
        <item x="65"/>
        <item x="107"/>
        <item x="84"/>
        <item x="148"/>
        <item x="96"/>
        <item x="40"/>
        <item x="68"/>
        <item x="62"/>
        <item x="7"/>
        <item x="93"/>
        <item x="183"/>
        <item x="140"/>
        <item x="205"/>
        <item x="274"/>
        <item x="24"/>
        <item x="237"/>
        <item x="74"/>
        <item x="35"/>
        <item x="133"/>
        <item x="254"/>
        <item x="102"/>
        <item x="101"/>
        <item x="221"/>
        <item x="111"/>
        <item x="165"/>
        <item x="161"/>
        <item x="266"/>
        <item x="120"/>
        <item x="184"/>
        <item x="301"/>
        <item x="272"/>
        <item x="295"/>
        <item x="9"/>
        <item x="264"/>
        <item x="315"/>
        <item x="12"/>
        <item x="59"/>
        <item x="247"/>
        <item x="48"/>
        <item x="20"/>
        <item x="90"/>
        <item x="64"/>
        <item x="282"/>
        <item x="82"/>
        <item x="260"/>
        <item x="170"/>
        <item x="129"/>
        <item x="212"/>
        <item x="218"/>
        <item x="328"/>
        <item x="22"/>
        <item x="316"/>
        <item x="88"/>
        <item x="141"/>
        <item x="261"/>
        <item x="207"/>
        <item x="324"/>
        <item x="127"/>
        <item x="36"/>
        <item x="277"/>
        <item x="213"/>
        <item x="47"/>
        <item x="279"/>
        <item x="258"/>
        <item x="253"/>
        <item x="75"/>
        <item x="244"/>
        <item x="91"/>
        <item x="206"/>
        <item x="0"/>
        <item x="153"/>
        <item x="196"/>
        <item x="37"/>
        <item x="223"/>
        <item x="138"/>
        <item x="136"/>
        <item x="306"/>
        <item x="19"/>
        <item x="263"/>
        <item x="248"/>
        <item x="77"/>
        <item x="130"/>
        <item x="14"/>
        <item x="60"/>
        <item x="113"/>
        <item x="23"/>
        <item x="291"/>
        <item x="61"/>
        <item x="303"/>
        <item x="240"/>
        <item x="231"/>
        <item x="251"/>
        <item x="81"/>
        <item x="239"/>
        <item x="267"/>
        <item x="54"/>
        <item x="162"/>
        <item x="149"/>
        <item x="224"/>
        <item x="13"/>
        <item x="309"/>
        <item x="2"/>
        <item x="192"/>
        <item x="86"/>
        <item x="55"/>
        <item x="106"/>
        <item x="302"/>
        <item x="199"/>
        <item x="225"/>
        <item x="41"/>
        <item x="178"/>
        <item x="158"/>
        <item x="198"/>
        <item x="293"/>
        <item x="271"/>
        <item x="5"/>
        <item x="139"/>
        <item x="85"/>
        <item x="70"/>
        <item x="110"/>
        <item x="8"/>
        <item x="16"/>
        <item x="289"/>
        <item x="160"/>
        <item x="118"/>
        <item x="6"/>
        <item x="46"/>
        <item x="220"/>
        <item x="270"/>
        <item x="122"/>
        <item x="137"/>
        <item x="92"/>
        <item x="250"/>
        <item x="109"/>
        <item x="242"/>
        <item x="230"/>
        <item x="325"/>
        <item x="249"/>
        <item x="45"/>
        <item x="135"/>
        <item x="50"/>
        <item x="195"/>
        <item x="155"/>
        <item x="308"/>
        <item x="280"/>
        <item x="169"/>
        <item x="233"/>
        <item x="143"/>
        <item x="30"/>
        <item x="164"/>
        <item x="150"/>
        <item x="187"/>
        <item x="29"/>
        <item x="314"/>
        <item x="188"/>
        <item x="204"/>
        <item x="103"/>
        <item x="255"/>
        <item x="67"/>
        <item x="262"/>
        <item x="73"/>
        <item x="83"/>
        <item x="243"/>
        <item x="154"/>
        <item x="80"/>
        <item x="283"/>
        <item x="28"/>
        <item x="119"/>
        <item x="294"/>
        <item x="268"/>
        <item x="163"/>
        <item x="194"/>
        <item x="144"/>
        <item x="49"/>
        <item x="227"/>
        <item x="327"/>
        <item x="58"/>
        <item x="26"/>
        <item x="72"/>
        <item x="246"/>
        <item x="172"/>
        <item x="1"/>
        <item x="87"/>
        <item x="329"/>
        <item x="134"/>
        <item x="104"/>
        <item x="238"/>
        <item x="181"/>
        <item x="69"/>
        <item x="228"/>
        <item x="269"/>
        <item x="320"/>
        <item x="326"/>
        <item x="234"/>
        <item x="290"/>
        <item x="99"/>
        <item x="151"/>
        <item x="159"/>
        <item x="191"/>
        <item x="39"/>
        <item x="21"/>
        <item x="211"/>
        <item x="307"/>
        <item x="25"/>
        <item x="100"/>
        <item x="117"/>
        <item x="273"/>
        <item x="175"/>
        <item x="63"/>
        <item x="18"/>
        <item x="216"/>
        <item x="222"/>
        <item x="52"/>
        <item x="323"/>
        <item x="296"/>
        <item x="31"/>
        <item x="288"/>
        <item x="203"/>
        <item x="57"/>
        <item x="98"/>
        <item x="286"/>
        <item x="11"/>
        <item x="94"/>
        <item x="173"/>
        <item x="236"/>
        <item x="168"/>
        <item x="317"/>
        <item x="115"/>
        <item x="321"/>
        <item x="43"/>
        <item x="180"/>
        <item x="256"/>
        <item x="313"/>
        <item x="76"/>
        <item x="33"/>
        <item x="34"/>
        <item x="157"/>
        <item x="252"/>
        <item x="200"/>
        <item x="167"/>
        <item x="56"/>
        <item x="32"/>
        <item x="124"/>
        <item x="305"/>
        <item x="38"/>
        <item x="15"/>
        <item x="114"/>
        <item x="284"/>
        <item x="42"/>
        <item x="292"/>
        <item x="89"/>
        <item x="105"/>
        <item x="276"/>
        <item x="142"/>
        <item x="95"/>
        <item x="215"/>
        <item x="304"/>
        <item x="311"/>
        <item x="176"/>
        <item x="278"/>
        <item x="257"/>
        <item x="78"/>
        <item x="51"/>
        <item x="208"/>
        <item x="297"/>
        <item x="171"/>
        <item x="214"/>
        <item x="27"/>
        <item x="235"/>
        <item x="145"/>
        <item x="210"/>
        <item x="126"/>
        <item x="44"/>
        <item x="202"/>
        <item x="245"/>
        <item x="156"/>
        <item x="300"/>
        <item x="229"/>
        <item x="312"/>
        <item x="166"/>
        <item x="310"/>
        <item x="189"/>
        <item x="193"/>
        <item x="226"/>
        <item x="179"/>
        <item x="299"/>
        <item x="219"/>
        <item x="319"/>
        <item x="66"/>
        <item x="285"/>
        <item x="112"/>
        <item x="53"/>
        <item x="322"/>
        <item x="125"/>
        <item x="177"/>
        <item x="318"/>
        <item x="201"/>
        <item x="197"/>
        <item x="275"/>
        <item t="default"/>
      </items>
    </pivotField>
    <pivotField showAll="0"/>
    <pivotField showAll="0">
      <items count="5">
        <item x="2"/>
        <item x="0"/>
        <item x="1"/>
        <item x="3"/>
        <item t="default"/>
      </items>
    </pivotField>
    <pivotField dataField="1" showAll="0"/>
    <pivotField showAll="0"/>
    <pivotField showAll="0">
      <items count="15">
        <item sd="0" x="0"/>
        <item sd="0" x="1"/>
        <item sd="0" x="2"/>
        <item sd="0" x="3"/>
        <item sd="0" x="4"/>
        <item sd="0" x="5"/>
        <item sd="0" x="6"/>
        <item sd="0" x="7"/>
        <item sd="0" x="8"/>
        <item sd="0" x="9"/>
        <item sd="0" x="10"/>
        <item sd="0" x="11"/>
        <item sd="0" x="12"/>
        <item sd="0" x="13"/>
        <item t="default" sd="0"/>
      </items>
    </pivotField>
    <pivotField axis="axisRow" showAll="0">
      <items count="7">
        <item sd="0" x="0"/>
        <item sd="0" x="1"/>
        <item sd="0" x="2"/>
        <item sd="0" x="3"/>
        <item sd="0" x="4"/>
        <item sd="0" x="5"/>
        <item t="default"/>
      </items>
    </pivotField>
    <pivotField showAll="0">
      <items count="5">
        <item sd="0" x="0"/>
        <item sd="0" x="1"/>
        <item sd="0" x="2"/>
        <item sd="0"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3"/>
  </rowFields>
  <rowItems count="5">
    <i>
      <x v="1"/>
    </i>
    <i>
      <x v="2"/>
    </i>
    <i>
      <x v="3"/>
    </i>
    <i>
      <x v="4"/>
    </i>
    <i t="grand">
      <x/>
    </i>
  </rowItems>
  <colItems count="1">
    <i/>
  </colItems>
  <dataFields count="1">
    <dataField name="Sum of amount" fld="10" baseField="0" baseItem="0" numFmtId="165"/>
  </dataFields>
  <formats count="3">
    <format dxfId="35">
      <pivotArea collapsedLevelsAreSubtotals="1" fieldPosition="0">
        <references count="1">
          <reference field="13" count="1">
            <x v="1"/>
          </reference>
        </references>
      </pivotArea>
    </format>
    <format dxfId="34">
      <pivotArea collapsedLevelsAreSubtotals="1" fieldPosition="0">
        <references count="1">
          <reference field="13" count="3">
            <x v="2"/>
            <x v="3"/>
            <x v="4"/>
          </reference>
        </references>
      </pivotArea>
    </format>
    <format dxfId="33">
      <pivotArea outline="0" fieldPosition="0">
        <references count="1">
          <reference field="4294967294" count="1">
            <x v="0"/>
          </reference>
        </references>
      </pivotArea>
    </format>
  </formats>
  <chartFormats count="3">
    <chartFormat chart="21" format="0"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2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A074F5-4ECD-463C-8C49-9DFEEB67F845}" name="PivotTable3"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showHeaders="0" outline="1" outlineData="1" multipleFieldFilters="0" chartFormat="38">
  <location ref="A1:C14" firstHeaderRow="1" firstDataRow="2" firstDataCol="1"/>
  <pivotFields count="18">
    <pivotField showAll="0"/>
    <pivotField showAll="0"/>
    <pivotField showAll="0"/>
    <pivotField showAll="0"/>
    <pivotField showAll="0"/>
    <pivotField showAll="0"/>
    <pivotField numFmtId="14" showAll="0">
      <items count="280">
        <item x="62"/>
        <item x="51"/>
        <item x="237"/>
        <item x="193"/>
        <item x="266"/>
        <item x="42"/>
        <item x="238"/>
        <item x="81"/>
        <item x="93"/>
        <item x="234"/>
        <item x="261"/>
        <item x="143"/>
        <item x="260"/>
        <item x="80"/>
        <item x="192"/>
        <item x="27"/>
        <item x="262"/>
        <item x="67"/>
        <item x="278"/>
        <item x="236"/>
        <item x="196"/>
        <item x="151"/>
        <item x="187"/>
        <item x="179"/>
        <item x="235"/>
        <item x="204"/>
        <item x="104"/>
        <item x="218"/>
        <item x="1"/>
        <item x="57"/>
        <item x="125"/>
        <item x="96"/>
        <item x="66"/>
        <item x="122"/>
        <item x="56"/>
        <item x="76"/>
        <item x="248"/>
        <item x="10"/>
        <item x="202"/>
        <item x="72"/>
        <item x="110"/>
        <item x="8"/>
        <item x="89"/>
        <item x="0"/>
        <item x="212"/>
        <item x="210"/>
        <item x="119"/>
        <item x="220"/>
        <item x="19"/>
        <item x="75"/>
        <item x="251"/>
        <item x="79"/>
        <item x="186"/>
        <item x="105"/>
        <item x="175"/>
        <item x="78"/>
        <item x="159"/>
        <item x="15"/>
        <item x="46"/>
        <item x="130"/>
        <item x="166"/>
        <item x="206"/>
        <item x="276"/>
        <item x="273"/>
        <item x="271"/>
        <item x="142"/>
        <item x="124"/>
        <item x="203"/>
        <item x="101"/>
        <item x="153"/>
        <item x="115"/>
        <item x="219"/>
        <item x="49"/>
        <item x="11"/>
        <item x="129"/>
        <item x="135"/>
        <item x="241"/>
        <item x="133"/>
        <item x="274"/>
        <item x="152"/>
        <item x="227"/>
        <item x="97"/>
        <item x="140"/>
        <item x="25"/>
        <item x="189"/>
        <item x="158"/>
        <item x="190"/>
        <item x="31"/>
        <item x="164"/>
        <item x="254"/>
        <item x="147"/>
        <item x="195"/>
        <item x="256"/>
        <item x="71"/>
        <item x="184"/>
        <item x="4"/>
        <item x="199"/>
        <item x="185"/>
        <item x="26"/>
        <item x="24"/>
        <item x="217"/>
        <item x="28"/>
        <item x="176"/>
        <item x="146"/>
        <item x="128"/>
        <item x="22"/>
        <item x="201"/>
        <item x="18"/>
        <item x="87"/>
        <item x="98"/>
        <item x="252"/>
        <item x="2"/>
        <item x="83"/>
        <item x="148"/>
        <item x="113"/>
        <item x="207"/>
        <item x="117"/>
        <item x="88"/>
        <item x="181"/>
        <item x="41"/>
        <item x="160"/>
        <item x="17"/>
        <item x="172"/>
        <item x="183"/>
        <item x="161"/>
        <item x="155"/>
        <item x="277"/>
        <item x="16"/>
        <item x="145"/>
        <item x="174"/>
        <item x="112"/>
        <item x="63"/>
        <item x="43"/>
        <item x="269"/>
        <item x="168"/>
        <item x="231"/>
        <item x="61"/>
        <item x="21"/>
        <item x="136"/>
        <item x="6"/>
        <item x="100"/>
        <item x="257"/>
        <item x="69"/>
        <item x="32"/>
        <item x="224"/>
        <item x="263"/>
        <item x="7"/>
        <item x="163"/>
        <item x="272"/>
        <item x="86"/>
        <item x="103"/>
        <item x="73"/>
        <item x="34"/>
        <item x="194"/>
        <item x="162"/>
        <item x="68"/>
        <item x="70"/>
        <item x="177"/>
        <item x="58"/>
        <item x="268"/>
        <item x="229"/>
        <item x="45"/>
        <item x="65"/>
        <item x="35"/>
        <item x="102"/>
        <item x="60"/>
        <item x="44"/>
        <item x="121"/>
        <item x="13"/>
        <item x="198"/>
        <item x="5"/>
        <item x="30"/>
        <item x="74"/>
        <item x="191"/>
        <item x="126"/>
        <item x="208"/>
        <item x="173"/>
        <item x="178"/>
        <item x="258"/>
        <item x="214"/>
        <item x="52"/>
        <item x="39"/>
        <item x="221"/>
        <item x="246"/>
        <item x="77"/>
        <item x="233"/>
        <item x="150"/>
        <item x="53"/>
        <item x="211"/>
        <item x="245"/>
        <item x="267"/>
        <item x="244"/>
        <item x="225"/>
        <item x="99"/>
        <item x="20"/>
        <item x="127"/>
        <item x="29"/>
        <item x="249"/>
        <item x="38"/>
        <item x="169"/>
        <item x="14"/>
        <item x="120"/>
        <item x="149"/>
        <item x="138"/>
        <item x="205"/>
        <item x="139"/>
        <item x="167"/>
        <item x="226"/>
        <item x="111"/>
        <item x="92"/>
        <item x="54"/>
        <item x="50"/>
        <item x="90"/>
        <item x="141"/>
        <item x="197"/>
        <item x="64"/>
        <item x="215"/>
        <item x="132"/>
        <item x="108"/>
        <item x="59"/>
        <item x="165"/>
        <item x="91"/>
        <item x="270"/>
        <item x="247"/>
        <item x="94"/>
        <item x="259"/>
        <item x="239"/>
        <item x="232"/>
        <item x="106"/>
        <item x="253"/>
        <item x="182"/>
        <item x="116"/>
        <item x="188"/>
        <item x="23"/>
        <item x="240"/>
        <item x="9"/>
        <item x="144"/>
        <item x="230"/>
        <item x="250"/>
        <item x="82"/>
        <item x="171"/>
        <item x="255"/>
        <item x="123"/>
        <item x="107"/>
        <item x="95"/>
        <item x="48"/>
        <item x="131"/>
        <item x="47"/>
        <item x="33"/>
        <item x="275"/>
        <item x="216"/>
        <item x="137"/>
        <item x="200"/>
        <item x="40"/>
        <item x="156"/>
        <item x="55"/>
        <item x="114"/>
        <item x="36"/>
        <item x="118"/>
        <item x="223"/>
        <item x="157"/>
        <item x="3"/>
        <item x="209"/>
        <item x="109"/>
        <item x="134"/>
        <item x="37"/>
        <item x="170"/>
        <item x="154"/>
        <item x="222"/>
        <item x="265"/>
        <item x="228"/>
        <item x="243"/>
        <item x="213"/>
        <item x="242"/>
        <item x="264"/>
        <item x="84"/>
        <item x="85"/>
        <item x="12"/>
        <item x="180"/>
        <item t="default"/>
      </items>
    </pivotField>
    <pivotField numFmtId="14" showAll="0">
      <items count="332">
        <item x="281"/>
        <item x="259"/>
        <item x="241"/>
        <item x="265"/>
        <item x="79"/>
        <item x="71"/>
        <item x="152"/>
        <item x="147"/>
        <item x="121"/>
        <item x="146"/>
        <item x="182"/>
        <item x="108"/>
        <item x="209"/>
        <item x="10"/>
        <item x="287"/>
        <item x="132"/>
        <item x="232"/>
        <item x="185"/>
        <item x="330"/>
        <item x="131"/>
        <item x="186"/>
        <item x="97"/>
        <item x="3"/>
        <item x="123"/>
        <item x="128"/>
        <item x="174"/>
        <item x="116"/>
        <item x="4"/>
        <item x="298"/>
        <item x="217"/>
        <item x="17"/>
        <item x="190"/>
        <item x="65"/>
        <item x="107"/>
        <item x="84"/>
        <item x="148"/>
        <item x="96"/>
        <item x="40"/>
        <item x="68"/>
        <item x="62"/>
        <item x="7"/>
        <item x="93"/>
        <item x="183"/>
        <item x="140"/>
        <item x="205"/>
        <item x="274"/>
        <item x="24"/>
        <item x="237"/>
        <item x="74"/>
        <item x="35"/>
        <item x="133"/>
        <item x="254"/>
        <item x="102"/>
        <item x="101"/>
        <item x="221"/>
        <item x="111"/>
        <item x="165"/>
        <item x="161"/>
        <item x="266"/>
        <item x="120"/>
        <item x="184"/>
        <item x="301"/>
        <item x="272"/>
        <item x="295"/>
        <item x="9"/>
        <item x="264"/>
        <item x="315"/>
        <item x="12"/>
        <item x="59"/>
        <item x="247"/>
        <item x="48"/>
        <item x="20"/>
        <item x="90"/>
        <item x="64"/>
        <item x="282"/>
        <item x="82"/>
        <item x="260"/>
        <item x="170"/>
        <item x="129"/>
        <item x="212"/>
        <item x="218"/>
        <item x="328"/>
        <item x="22"/>
        <item x="316"/>
        <item x="88"/>
        <item x="141"/>
        <item x="261"/>
        <item x="207"/>
        <item x="324"/>
        <item x="127"/>
        <item x="36"/>
        <item x="277"/>
        <item x="213"/>
        <item x="47"/>
        <item x="279"/>
        <item x="258"/>
        <item x="253"/>
        <item x="75"/>
        <item x="244"/>
        <item x="91"/>
        <item x="206"/>
        <item x="0"/>
        <item x="153"/>
        <item x="196"/>
        <item x="37"/>
        <item x="223"/>
        <item x="138"/>
        <item x="136"/>
        <item x="306"/>
        <item x="19"/>
        <item x="263"/>
        <item x="248"/>
        <item x="77"/>
        <item x="130"/>
        <item x="14"/>
        <item x="60"/>
        <item x="113"/>
        <item x="23"/>
        <item x="291"/>
        <item x="61"/>
        <item x="303"/>
        <item x="240"/>
        <item x="231"/>
        <item x="251"/>
        <item x="81"/>
        <item x="239"/>
        <item x="267"/>
        <item x="54"/>
        <item x="162"/>
        <item x="149"/>
        <item x="224"/>
        <item x="13"/>
        <item x="309"/>
        <item x="2"/>
        <item x="192"/>
        <item x="86"/>
        <item x="55"/>
        <item x="106"/>
        <item x="302"/>
        <item x="199"/>
        <item x="225"/>
        <item x="41"/>
        <item x="178"/>
        <item x="158"/>
        <item x="198"/>
        <item x="293"/>
        <item x="271"/>
        <item x="5"/>
        <item x="139"/>
        <item x="85"/>
        <item x="70"/>
        <item x="110"/>
        <item x="8"/>
        <item x="16"/>
        <item x="289"/>
        <item x="160"/>
        <item x="118"/>
        <item x="6"/>
        <item x="46"/>
        <item x="220"/>
        <item x="270"/>
        <item x="122"/>
        <item x="137"/>
        <item x="92"/>
        <item x="250"/>
        <item x="109"/>
        <item x="242"/>
        <item x="230"/>
        <item x="325"/>
        <item x="249"/>
        <item x="45"/>
        <item x="135"/>
        <item x="50"/>
        <item x="195"/>
        <item x="155"/>
        <item x="308"/>
        <item x="280"/>
        <item x="169"/>
        <item x="233"/>
        <item x="143"/>
        <item x="30"/>
        <item x="164"/>
        <item x="150"/>
        <item x="187"/>
        <item x="29"/>
        <item x="314"/>
        <item x="188"/>
        <item x="204"/>
        <item x="103"/>
        <item x="255"/>
        <item x="67"/>
        <item x="262"/>
        <item x="73"/>
        <item x="83"/>
        <item x="243"/>
        <item x="154"/>
        <item x="80"/>
        <item x="283"/>
        <item x="28"/>
        <item x="119"/>
        <item x="294"/>
        <item x="268"/>
        <item x="163"/>
        <item x="194"/>
        <item x="144"/>
        <item x="49"/>
        <item x="227"/>
        <item x="327"/>
        <item x="58"/>
        <item x="26"/>
        <item x="72"/>
        <item x="246"/>
        <item x="172"/>
        <item x="1"/>
        <item x="87"/>
        <item x="329"/>
        <item x="134"/>
        <item x="104"/>
        <item x="238"/>
        <item x="181"/>
        <item x="69"/>
        <item x="228"/>
        <item x="269"/>
        <item x="320"/>
        <item x="326"/>
        <item x="234"/>
        <item x="290"/>
        <item x="99"/>
        <item x="151"/>
        <item x="159"/>
        <item x="191"/>
        <item x="39"/>
        <item x="21"/>
        <item x="211"/>
        <item x="307"/>
        <item x="25"/>
        <item x="100"/>
        <item x="117"/>
        <item x="273"/>
        <item x="175"/>
        <item x="63"/>
        <item x="18"/>
        <item x="216"/>
        <item x="222"/>
        <item x="52"/>
        <item x="323"/>
        <item x="296"/>
        <item x="31"/>
        <item x="288"/>
        <item x="203"/>
        <item x="57"/>
        <item x="98"/>
        <item x="286"/>
        <item x="11"/>
        <item x="94"/>
        <item x="173"/>
        <item x="236"/>
        <item x="168"/>
        <item x="317"/>
        <item x="115"/>
        <item x="321"/>
        <item x="43"/>
        <item x="180"/>
        <item x="256"/>
        <item x="313"/>
        <item x="76"/>
        <item x="33"/>
        <item x="34"/>
        <item x="157"/>
        <item x="252"/>
        <item x="200"/>
        <item x="167"/>
        <item x="56"/>
        <item x="32"/>
        <item x="124"/>
        <item x="305"/>
        <item x="38"/>
        <item x="15"/>
        <item x="114"/>
        <item x="284"/>
        <item x="42"/>
        <item x="292"/>
        <item x="89"/>
        <item x="105"/>
        <item x="276"/>
        <item x="142"/>
        <item x="95"/>
        <item x="215"/>
        <item x="304"/>
        <item x="311"/>
        <item x="176"/>
        <item x="278"/>
        <item x="257"/>
        <item x="78"/>
        <item x="51"/>
        <item x="208"/>
        <item x="297"/>
        <item x="171"/>
        <item x="214"/>
        <item x="27"/>
        <item x="235"/>
        <item x="145"/>
        <item x="210"/>
        <item x="126"/>
        <item x="44"/>
        <item x="202"/>
        <item x="245"/>
        <item x="156"/>
        <item x="300"/>
        <item x="229"/>
        <item x="312"/>
        <item x="166"/>
        <item x="310"/>
        <item x="189"/>
        <item x="193"/>
        <item x="226"/>
        <item x="179"/>
        <item x="299"/>
        <item x="219"/>
        <item x="319"/>
        <item x="66"/>
        <item x="285"/>
        <item x="112"/>
        <item x="53"/>
        <item x="322"/>
        <item x="125"/>
        <item x="177"/>
        <item x="318"/>
        <item x="201"/>
        <item x="197"/>
        <item x="275"/>
        <item t="default"/>
      </items>
    </pivotField>
    <pivotField showAll="0"/>
    <pivotField showAll="0">
      <items count="5">
        <item x="2"/>
        <item x="0"/>
        <item x="1"/>
        <item x="3"/>
        <item t="default"/>
      </items>
    </pivotField>
    <pivotField showAll="0"/>
    <pivotField axis="axisCol" dataField="1" showAll="0">
      <items count="3">
        <item x="0"/>
        <item x="1"/>
        <item t="default"/>
      </items>
    </pivotField>
    <pivotField showAll="0">
      <items count="15">
        <item h="1" x="0"/>
        <item h="1" x="1"/>
        <item h="1" x="2"/>
        <item h="1" x="3"/>
        <item h="1" x="4"/>
        <item h="1" x="5"/>
        <item h="1" x="6"/>
        <item h="1" x="7"/>
        <item h="1" x="8"/>
        <item h="1" x="9"/>
        <item h="1" x="10"/>
        <item h="1" x="11"/>
        <item x="12"/>
        <item h="1" x="13"/>
        <item t="default"/>
      </items>
    </pivotField>
    <pivotField showAll="0">
      <items count="7">
        <item h="1" x="0"/>
        <item h="1" x="1"/>
        <item h="1" x="2"/>
        <item h="1" x="3"/>
        <item x="4"/>
        <item h="1" x="5"/>
        <item t="default"/>
      </items>
    </pivotField>
    <pivotField showAll="0">
      <items count="5">
        <item x="0"/>
        <item x="1"/>
        <item x="2"/>
        <item x="3"/>
        <item t="default"/>
      </items>
    </pivotField>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5"/>
  </rowFields>
  <rowItems count="12">
    <i>
      <x v="1"/>
    </i>
    <i>
      <x v="2"/>
    </i>
    <i>
      <x v="3"/>
    </i>
    <i>
      <x v="4"/>
    </i>
    <i>
      <x v="5"/>
    </i>
    <i>
      <x v="6"/>
    </i>
    <i>
      <x v="7"/>
    </i>
    <i>
      <x v="8"/>
    </i>
    <i>
      <x v="9"/>
    </i>
    <i>
      <x v="10"/>
    </i>
    <i>
      <x v="11"/>
    </i>
    <i>
      <x v="12"/>
    </i>
  </rowItems>
  <colFields count="1">
    <field x="11"/>
  </colFields>
  <colItems count="2">
    <i>
      <x/>
    </i>
    <i>
      <x v="1"/>
    </i>
  </colItems>
  <dataFields count="1">
    <dataField name="Count of follow_up_required" fld="11" subtotal="count" baseField="0" baseItem="0"/>
  </dataFields>
  <chartFormats count="6">
    <chartFormat chart="24" format="2" series="1">
      <pivotArea type="data" outline="0" fieldPosition="0">
        <references count="1">
          <reference field="4294967294" count="1" selected="0">
            <x v="0"/>
          </reference>
        </references>
      </pivotArea>
    </chartFormat>
    <chartFormat chart="8" format="31" series="1">
      <pivotArea type="data" outline="0" fieldPosition="0">
        <references count="1">
          <reference field="4294967294" count="1" selected="0">
            <x v="0"/>
          </reference>
        </references>
      </pivotArea>
    </chartFormat>
    <chartFormat chart="24" format="3" series="1">
      <pivotArea type="data" outline="0" fieldPosition="0">
        <references count="2">
          <reference field="4294967294" count="1" selected="0">
            <x v="0"/>
          </reference>
          <reference field="11" count="1" selected="0">
            <x v="1"/>
          </reference>
        </references>
      </pivotArea>
    </chartFormat>
    <chartFormat chart="8" format="32" series="1">
      <pivotArea type="data" outline="0" fieldPosition="0">
        <references count="2">
          <reference field="4294967294" count="1" selected="0">
            <x v="0"/>
          </reference>
          <reference field="11" count="1" selected="0">
            <x v="1"/>
          </reference>
        </references>
      </pivotArea>
    </chartFormat>
    <chartFormat chart="37" format="0" series="1">
      <pivotArea type="data" outline="0" fieldPosition="0">
        <references count="2">
          <reference field="4294967294" count="1" selected="0">
            <x v="0"/>
          </reference>
          <reference field="11" count="1" selected="0">
            <x v="0"/>
          </reference>
        </references>
      </pivotArea>
    </chartFormat>
    <chartFormat chart="37" format="1"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93FBA9-DC12-4CD8-97D9-78E6DDA9D9FE}"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29">
  <location ref="A1:C5" firstHeaderRow="1" firstDataRow="2" firstDataCol="1"/>
  <pivotFields count="18">
    <pivotField showAll="0"/>
    <pivotField showAll="0"/>
    <pivotField showAll="0"/>
    <pivotField showAll="0"/>
    <pivotField axis="axisRow" showAll="0">
      <items count="4">
        <item x="0"/>
        <item x="1"/>
        <item x="2"/>
        <item t="default"/>
      </items>
    </pivotField>
    <pivotField axis="axisCol" dataField="1" showAll="0">
      <items count="3">
        <item x="0"/>
        <item x="1"/>
        <item t="default"/>
      </items>
    </pivotField>
    <pivotField numFmtId="14" showAll="0">
      <items count="280">
        <item x="62"/>
        <item x="51"/>
        <item x="237"/>
        <item x="193"/>
        <item x="266"/>
        <item x="42"/>
        <item x="238"/>
        <item x="81"/>
        <item x="93"/>
        <item x="234"/>
        <item x="261"/>
        <item x="143"/>
        <item x="260"/>
        <item x="80"/>
        <item x="192"/>
        <item x="27"/>
        <item x="262"/>
        <item x="67"/>
        <item x="278"/>
        <item x="236"/>
        <item x="196"/>
        <item x="151"/>
        <item x="187"/>
        <item x="179"/>
        <item x="235"/>
        <item x="204"/>
        <item x="104"/>
        <item x="218"/>
        <item x="1"/>
        <item x="57"/>
        <item x="125"/>
        <item x="96"/>
        <item x="66"/>
        <item x="122"/>
        <item x="56"/>
        <item x="76"/>
        <item x="248"/>
        <item x="10"/>
        <item x="202"/>
        <item x="72"/>
        <item x="110"/>
        <item x="8"/>
        <item x="89"/>
        <item x="0"/>
        <item x="212"/>
        <item x="210"/>
        <item x="119"/>
        <item x="220"/>
        <item x="19"/>
        <item x="75"/>
        <item x="251"/>
        <item x="79"/>
        <item x="186"/>
        <item x="105"/>
        <item x="175"/>
        <item x="78"/>
        <item x="159"/>
        <item x="15"/>
        <item x="46"/>
        <item x="130"/>
        <item x="166"/>
        <item x="206"/>
        <item x="276"/>
        <item x="273"/>
        <item x="271"/>
        <item x="142"/>
        <item x="124"/>
        <item x="203"/>
        <item x="101"/>
        <item x="153"/>
        <item x="115"/>
        <item x="219"/>
        <item x="49"/>
        <item x="11"/>
        <item x="129"/>
        <item x="135"/>
        <item x="241"/>
        <item x="133"/>
        <item x="274"/>
        <item x="152"/>
        <item x="227"/>
        <item x="97"/>
        <item x="140"/>
        <item x="25"/>
        <item x="189"/>
        <item x="158"/>
        <item x="190"/>
        <item x="31"/>
        <item x="164"/>
        <item x="254"/>
        <item x="147"/>
        <item x="195"/>
        <item x="256"/>
        <item x="71"/>
        <item x="184"/>
        <item x="4"/>
        <item x="199"/>
        <item x="185"/>
        <item x="26"/>
        <item x="24"/>
        <item x="217"/>
        <item x="28"/>
        <item x="176"/>
        <item x="146"/>
        <item x="128"/>
        <item x="22"/>
        <item x="201"/>
        <item x="18"/>
        <item x="87"/>
        <item x="98"/>
        <item x="252"/>
        <item x="2"/>
        <item x="83"/>
        <item x="148"/>
        <item x="113"/>
        <item x="207"/>
        <item x="117"/>
        <item x="88"/>
        <item x="181"/>
        <item x="41"/>
        <item x="160"/>
        <item x="17"/>
        <item x="172"/>
        <item x="183"/>
        <item x="161"/>
        <item x="155"/>
        <item x="277"/>
        <item x="16"/>
        <item x="145"/>
        <item x="174"/>
        <item x="112"/>
        <item x="63"/>
        <item x="43"/>
        <item x="269"/>
        <item x="168"/>
        <item x="231"/>
        <item x="61"/>
        <item x="21"/>
        <item x="136"/>
        <item x="6"/>
        <item x="100"/>
        <item x="257"/>
        <item x="69"/>
        <item x="32"/>
        <item x="224"/>
        <item x="263"/>
        <item x="7"/>
        <item x="163"/>
        <item x="272"/>
        <item x="86"/>
        <item x="103"/>
        <item x="73"/>
        <item x="34"/>
        <item x="194"/>
        <item x="162"/>
        <item x="68"/>
        <item x="70"/>
        <item x="177"/>
        <item x="58"/>
        <item x="268"/>
        <item x="229"/>
        <item x="45"/>
        <item x="65"/>
        <item x="35"/>
        <item x="102"/>
        <item x="60"/>
        <item x="44"/>
        <item x="121"/>
        <item x="13"/>
        <item x="198"/>
        <item x="5"/>
        <item x="30"/>
        <item x="74"/>
        <item x="191"/>
        <item x="126"/>
        <item x="208"/>
        <item x="173"/>
        <item x="178"/>
        <item x="258"/>
        <item x="214"/>
        <item x="52"/>
        <item x="39"/>
        <item x="221"/>
        <item x="246"/>
        <item x="77"/>
        <item x="233"/>
        <item x="150"/>
        <item x="53"/>
        <item x="211"/>
        <item x="245"/>
        <item x="267"/>
        <item x="244"/>
        <item x="225"/>
        <item x="99"/>
        <item x="20"/>
        <item x="127"/>
        <item x="29"/>
        <item x="249"/>
        <item x="38"/>
        <item x="169"/>
        <item x="14"/>
        <item x="120"/>
        <item x="149"/>
        <item x="138"/>
        <item x="205"/>
        <item x="139"/>
        <item x="167"/>
        <item x="226"/>
        <item x="111"/>
        <item x="92"/>
        <item x="54"/>
        <item x="50"/>
        <item x="90"/>
        <item x="141"/>
        <item x="197"/>
        <item x="64"/>
        <item x="215"/>
        <item x="132"/>
        <item x="108"/>
        <item x="59"/>
        <item x="165"/>
        <item x="91"/>
        <item x="270"/>
        <item x="247"/>
        <item x="94"/>
        <item x="259"/>
        <item x="239"/>
        <item x="232"/>
        <item x="106"/>
        <item x="253"/>
        <item x="182"/>
        <item x="116"/>
        <item x="188"/>
        <item x="23"/>
        <item x="240"/>
        <item x="9"/>
        <item x="144"/>
        <item x="230"/>
        <item x="250"/>
        <item x="82"/>
        <item x="171"/>
        <item x="255"/>
        <item x="123"/>
        <item x="107"/>
        <item x="95"/>
        <item x="48"/>
        <item x="131"/>
        <item x="47"/>
        <item x="33"/>
        <item x="275"/>
        <item x="216"/>
        <item x="137"/>
        <item x="200"/>
        <item x="40"/>
        <item x="156"/>
        <item x="55"/>
        <item x="114"/>
        <item x="36"/>
        <item x="118"/>
        <item x="223"/>
        <item x="157"/>
        <item x="3"/>
        <item x="209"/>
        <item x="109"/>
        <item x="134"/>
        <item x="37"/>
        <item x="170"/>
        <item x="154"/>
        <item x="222"/>
        <item x="265"/>
        <item x="228"/>
        <item x="243"/>
        <item x="213"/>
        <item x="242"/>
        <item x="264"/>
        <item x="84"/>
        <item x="85"/>
        <item x="12"/>
        <item x="180"/>
        <item t="default"/>
      </items>
    </pivotField>
    <pivotField numFmtId="14" showAll="0">
      <items count="332">
        <item x="281"/>
        <item x="259"/>
        <item x="241"/>
        <item x="265"/>
        <item x="79"/>
        <item x="71"/>
        <item x="152"/>
        <item x="147"/>
        <item x="121"/>
        <item x="146"/>
        <item x="182"/>
        <item x="108"/>
        <item x="209"/>
        <item x="10"/>
        <item x="287"/>
        <item x="132"/>
        <item x="232"/>
        <item x="185"/>
        <item x="330"/>
        <item x="131"/>
        <item x="186"/>
        <item x="97"/>
        <item x="3"/>
        <item x="123"/>
        <item x="128"/>
        <item x="174"/>
        <item x="116"/>
        <item x="4"/>
        <item x="298"/>
        <item x="217"/>
        <item x="17"/>
        <item x="190"/>
        <item x="65"/>
        <item x="107"/>
        <item x="84"/>
        <item x="148"/>
        <item x="96"/>
        <item x="40"/>
        <item x="68"/>
        <item x="62"/>
        <item x="7"/>
        <item x="93"/>
        <item x="183"/>
        <item x="140"/>
        <item x="205"/>
        <item x="274"/>
        <item x="24"/>
        <item x="237"/>
        <item x="74"/>
        <item x="35"/>
        <item x="133"/>
        <item x="254"/>
        <item x="102"/>
        <item x="101"/>
        <item x="221"/>
        <item x="111"/>
        <item x="165"/>
        <item x="161"/>
        <item x="266"/>
        <item x="120"/>
        <item x="184"/>
        <item x="301"/>
        <item x="272"/>
        <item x="295"/>
        <item x="9"/>
        <item x="264"/>
        <item x="315"/>
        <item x="12"/>
        <item x="59"/>
        <item x="247"/>
        <item x="48"/>
        <item x="20"/>
        <item x="90"/>
        <item x="64"/>
        <item x="282"/>
        <item x="82"/>
        <item x="260"/>
        <item x="170"/>
        <item x="129"/>
        <item x="212"/>
        <item x="218"/>
        <item x="328"/>
        <item x="22"/>
        <item x="316"/>
        <item x="88"/>
        <item x="141"/>
        <item x="261"/>
        <item x="207"/>
        <item x="324"/>
        <item x="127"/>
        <item x="36"/>
        <item x="277"/>
        <item x="213"/>
        <item x="47"/>
        <item x="279"/>
        <item x="258"/>
        <item x="253"/>
        <item x="75"/>
        <item x="244"/>
        <item x="91"/>
        <item x="206"/>
        <item x="0"/>
        <item x="153"/>
        <item x="196"/>
        <item x="37"/>
        <item x="223"/>
        <item x="138"/>
        <item x="136"/>
        <item x="306"/>
        <item x="19"/>
        <item x="263"/>
        <item x="248"/>
        <item x="77"/>
        <item x="130"/>
        <item x="14"/>
        <item x="60"/>
        <item x="113"/>
        <item x="23"/>
        <item x="291"/>
        <item x="61"/>
        <item x="303"/>
        <item x="240"/>
        <item x="231"/>
        <item x="251"/>
        <item x="81"/>
        <item x="239"/>
        <item x="267"/>
        <item x="54"/>
        <item x="162"/>
        <item x="149"/>
        <item x="224"/>
        <item x="13"/>
        <item x="309"/>
        <item x="2"/>
        <item x="192"/>
        <item x="86"/>
        <item x="55"/>
        <item x="106"/>
        <item x="302"/>
        <item x="199"/>
        <item x="225"/>
        <item x="41"/>
        <item x="178"/>
        <item x="158"/>
        <item x="198"/>
        <item x="293"/>
        <item x="271"/>
        <item x="5"/>
        <item x="139"/>
        <item x="85"/>
        <item x="70"/>
        <item x="110"/>
        <item x="8"/>
        <item x="16"/>
        <item x="289"/>
        <item x="160"/>
        <item x="118"/>
        <item x="6"/>
        <item x="46"/>
        <item x="220"/>
        <item x="270"/>
        <item x="122"/>
        <item x="137"/>
        <item x="92"/>
        <item x="250"/>
        <item x="109"/>
        <item x="242"/>
        <item x="230"/>
        <item x="325"/>
        <item x="249"/>
        <item x="45"/>
        <item x="135"/>
        <item x="50"/>
        <item x="195"/>
        <item x="155"/>
        <item x="308"/>
        <item x="280"/>
        <item x="169"/>
        <item x="233"/>
        <item x="143"/>
        <item x="30"/>
        <item x="164"/>
        <item x="150"/>
        <item x="187"/>
        <item x="29"/>
        <item x="314"/>
        <item x="188"/>
        <item x="204"/>
        <item x="103"/>
        <item x="255"/>
        <item x="67"/>
        <item x="262"/>
        <item x="73"/>
        <item x="83"/>
        <item x="243"/>
        <item x="154"/>
        <item x="80"/>
        <item x="283"/>
        <item x="28"/>
        <item x="119"/>
        <item x="294"/>
        <item x="268"/>
        <item x="163"/>
        <item x="194"/>
        <item x="144"/>
        <item x="49"/>
        <item x="227"/>
        <item x="327"/>
        <item x="58"/>
        <item x="26"/>
        <item x="72"/>
        <item x="246"/>
        <item x="172"/>
        <item x="1"/>
        <item x="87"/>
        <item x="329"/>
        <item x="134"/>
        <item x="104"/>
        <item x="238"/>
        <item x="181"/>
        <item x="69"/>
        <item x="228"/>
        <item x="269"/>
        <item x="320"/>
        <item x="326"/>
        <item x="234"/>
        <item x="290"/>
        <item x="99"/>
        <item x="151"/>
        <item x="159"/>
        <item x="191"/>
        <item x="39"/>
        <item x="21"/>
        <item x="211"/>
        <item x="307"/>
        <item x="25"/>
        <item x="100"/>
        <item x="117"/>
        <item x="273"/>
        <item x="175"/>
        <item x="63"/>
        <item x="18"/>
        <item x="216"/>
        <item x="222"/>
        <item x="52"/>
        <item x="323"/>
        <item x="296"/>
        <item x="31"/>
        <item x="288"/>
        <item x="203"/>
        <item x="57"/>
        <item x="98"/>
        <item x="286"/>
        <item x="11"/>
        <item x="94"/>
        <item x="173"/>
        <item x="236"/>
        <item x="168"/>
        <item x="317"/>
        <item x="115"/>
        <item x="321"/>
        <item x="43"/>
        <item x="180"/>
        <item x="256"/>
        <item x="313"/>
        <item x="76"/>
        <item x="33"/>
        <item x="34"/>
        <item x="157"/>
        <item x="252"/>
        <item x="200"/>
        <item x="167"/>
        <item x="56"/>
        <item x="32"/>
        <item x="124"/>
        <item x="305"/>
        <item x="38"/>
        <item x="15"/>
        <item x="114"/>
        <item x="284"/>
        <item x="42"/>
        <item x="292"/>
        <item x="89"/>
        <item x="105"/>
        <item x="276"/>
        <item x="142"/>
        <item x="95"/>
        <item x="215"/>
        <item x="304"/>
        <item x="311"/>
        <item x="176"/>
        <item x="278"/>
        <item x="257"/>
        <item x="78"/>
        <item x="51"/>
        <item x="208"/>
        <item x="297"/>
        <item x="171"/>
        <item x="214"/>
        <item x="27"/>
        <item x="235"/>
        <item x="145"/>
        <item x="210"/>
        <item x="126"/>
        <item x="44"/>
        <item x="202"/>
        <item x="245"/>
        <item x="156"/>
        <item x="300"/>
        <item x="229"/>
        <item x="312"/>
        <item x="166"/>
        <item x="310"/>
        <item x="189"/>
        <item x="193"/>
        <item x="226"/>
        <item x="179"/>
        <item x="299"/>
        <item x="219"/>
        <item x="319"/>
        <item x="66"/>
        <item x="285"/>
        <item x="112"/>
        <item x="53"/>
        <item x="322"/>
        <item x="125"/>
        <item x="177"/>
        <item x="318"/>
        <item x="201"/>
        <item x="197"/>
        <item x="275"/>
        <item t="default"/>
      </items>
    </pivotField>
    <pivotField showAll="0"/>
    <pivotField showAll="0">
      <items count="5">
        <item x="2"/>
        <item x="0"/>
        <item x="1"/>
        <item x="3"/>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h="1" x="0"/>
        <item h="1" x="1"/>
        <item h="1" x="2"/>
        <item h="1" x="3"/>
        <item x="4"/>
        <item h="1"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3">
    <i>
      <x/>
    </i>
    <i>
      <x v="1"/>
    </i>
    <i>
      <x v="2"/>
    </i>
  </rowItems>
  <colFields count="1">
    <field x="5"/>
  </colFields>
  <colItems count="2">
    <i>
      <x/>
    </i>
    <i>
      <x v="1"/>
    </i>
  </colItems>
  <dataFields count="1">
    <dataField name="Count of gender" fld="5" subtotal="count" showDataAs="percentOfTotal" baseField="0" baseItem="0" numFmtId="10"/>
  </dataFields>
  <chartFormats count="6">
    <chartFormat chart="14" format="10" series="1">
      <pivotArea type="data" outline="0" fieldPosition="0">
        <references count="2">
          <reference field="4294967294" count="1" selected="0">
            <x v="0"/>
          </reference>
          <reference field="5" count="1" selected="0">
            <x v="0"/>
          </reference>
        </references>
      </pivotArea>
    </chartFormat>
    <chartFormat chart="14" format="11" series="1">
      <pivotArea type="data" outline="0" fieldPosition="0">
        <references count="2">
          <reference field="4294967294" count="1" selected="0">
            <x v="0"/>
          </reference>
          <reference field="5" count="1" selected="0">
            <x v="1"/>
          </reference>
        </references>
      </pivotArea>
    </chartFormat>
    <chartFormat chart="27" format="12" series="1">
      <pivotArea type="data" outline="0" fieldPosition="0">
        <references count="2">
          <reference field="4294967294" count="1" selected="0">
            <x v="0"/>
          </reference>
          <reference field="5" count="1" selected="0">
            <x v="0"/>
          </reference>
        </references>
      </pivotArea>
    </chartFormat>
    <chartFormat chart="27" format="13" series="1">
      <pivotArea type="data" outline="0" fieldPosition="0">
        <references count="2">
          <reference field="4294967294" count="1" selected="0">
            <x v="0"/>
          </reference>
          <reference field="5" count="1" selected="0">
            <x v="1"/>
          </reference>
        </references>
      </pivotArea>
    </chartFormat>
    <chartFormat chart="27" format="14" series="1">
      <pivotArea type="data" outline="0" fieldPosition="0">
        <references count="1">
          <reference field="4294967294" count="1" selected="0">
            <x v="0"/>
          </reference>
        </references>
      </pivotArea>
    </chartFormat>
    <chartFormat chart="14"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697C61C-60EA-4C9F-A4D2-391DB02C9353}"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8" firstHeaderRow="1" firstDataRow="1" firstDataCol="1"/>
  <pivotFields count="18">
    <pivotField showAll="0"/>
    <pivotField showAll="0"/>
    <pivotField showAll="0"/>
    <pivotField showAll="0"/>
    <pivotField showAll="0"/>
    <pivotField showAll="0"/>
    <pivotField numFmtId="14" showAll="0">
      <items count="280">
        <item x="62"/>
        <item x="51"/>
        <item x="237"/>
        <item x="193"/>
        <item x="266"/>
        <item x="42"/>
        <item x="238"/>
        <item x="81"/>
        <item x="93"/>
        <item x="234"/>
        <item x="261"/>
        <item x="143"/>
        <item x="260"/>
        <item x="80"/>
        <item x="192"/>
        <item x="27"/>
        <item x="262"/>
        <item x="67"/>
        <item x="278"/>
        <item x="236"/>
        <item x="196"/>
        <item x="151"/>
        <item x="187"/>
        <item x="179"/>
        <item x="235"/>
        <item x="204"/>
        <item x="104"/>
        <item x="218"/>
        <item x="1"/>
        <item x="57"/>
        <item x="125"/>
        <item x="96"/>
        <item x="66"/>
        <item x="122"/>
        <item x="56"/>
        <item x="76"/>
        <item x="248"/>
        <item x="10"/>
        <item x="202"/>
        <item x="72"/>
        <item x="110"/>
        <item x="8"/>
        <item x="89"/>
        <item x="0"/>
        <item x="212"/>
        <item x="210"/>
        <item x="119"/>
        <item x="220"/>
        <item x="19"/>
        <item x="75"/>
        <item x="251"/>
        <item x="79"/>
        <item x="186"/>
        <item x="105"/>
        <item x="175"/>
        <item x="78"/>
        <item x="159"/>
        <item x="15"/>
        <item x="46"/>
        <item x="130"/>
        <item x="166"/>
        <item x="206"/>
        <item x="276"/>
        <item x="273"/>
        <item x="271"/>
        <item x="142"/>
        <item x="124"/>
        <item x="203"/>
        <item x="101"/>
        <item x="153"/>
        <item x="115"/>
        <item x="219"/>
        <item x="49"/>
        <item x="11"/>
        <item x="129"/>
        <item x="135"/>
        <item x="241"/>
        <item x="133"/>
        <item x="274"/>
        <item x="152"/>
        <item x="227"/>
        <item x="97"/>
        <item x="140"/>
        <item x="25"/>
        <item x="189"/>
        <item x="158"/>
        <item x="190"/>
        <item x="31"/>
        <item x="164"/>
        <item x="254"/>
        <item x="147"/>
        <item x="195"/>
        <item x="256"/>
        <item x="71"/>
        <item x="184"/>
        <item x="4"/>
        <item x="199"/>
        <item x="185"/>
        <item x="26"/>
        <item x="24"/>
        <item x="217"/>
        <item x="28"/>
        <item x="176"/>
        <item x="146"/>
        <item x="128"/>
        <item x="22"/>
        <item x="201"/>
        <item x="18"/>
        <item x="87"/>
        <item x="98"/>
        <item x="252"/>
        <item x="2"/>
        <item x="83"/>
        <item x="148"/>
        <item x="113"/>
        <item x="207"/>
        <item x="117"/>
        <item x="88"/>
        <item x="181"/>
        <item x="41"/>
        <item x="160"/>
        <item x="17"/>
        <item x="172"/>
        <item x="183"/>
        <item x="161"/>
        <item x="155"/>
        <item x="277"/>
        <item x="16"/>
        <item x="145"/>
        <item x="174"/>
        <item x="112"/>
        <item x="63"/>
        <item x="43"/>
        <item x="269"/>
        <item x="168"/>
        <item x="231"/>
        <item x="61"/>
        <item x="21"/>
        <item x="136"/>
        <item x="6"/>
        <item x="100"/>
        <item x="257"/>
        <item x="69"/>
        <item x="32"/>
        <item x="224"/>
        <item x="263"/>
        <item x="7"/>
        <item x="163"/>
        <item x="272"/>
        <item x="86"/>
        <item x="103"/>
        <item x="73"/>
        <item x="34"/>
        <item x="194"/>
        <item x="162"/>
        <item x="68"/>
        <item x="70"/>
        <item x="177"/>
        <item x="58"/>
        <item x="268"/>
        <item x="229"/>
        <item x="45"/>
        <item x="65"/>
        <item x="35"/>
        <item x="102"/>
        <item x="60"/>
        <item x="44"/>
        <item x="121"/>
        <item x="13"/>
        <item x="198"/>
        <item x="5"/>
        <item x="30"/>
        <item x="74"/>
        <item x="191"/>
        <item x="126"/>
        <item x="208"/>
        <item x="173"/>
        <item x="178"/>
        <item x="258"/>
        <item x="214"/>
        <item x="52"/>
        <item x="39"/>
        <item x="221"/>
        <item x="246"/>
        <item x="77"/>
        <item x="233"/>
        <item x="150"/>
        <item x="53"/>
        <item x="211"/>
        <item x="245"/>
        <item x="267"/>
        <item x="244"/>
        <item x="225"/>
        <item x="99"/>
        <item x="20"/>
        <item x="127"/>
        <item x="29"/>
        <item x="249"/>
        <item x="38"/>
        <item x="169"/>
        <item x="14"/>
        <item x="120"/>
        <item x="149"/>
        <item x="138"/>
        <item x="205"/>
        <item x="139"/>
        <item x="167"/>
        <item x="226"/>
        <item x="111"/>
        <item x="92"/>
        <item x="54"/>
        <item x="50"/>
        <item x="90"/>
        <item x="141"/>
        <item x="197"/>
        <item x="64"/>
        <item x="215"/>
        <item x="132"/>
        <item x="108"/>
        <item x="59"/>
        <item x="165"/>
        <item x="91"/>
        <item x="270"/>
        <item x="247"/>
        <item x="94"/>
        <item x="259"/>
        <item x="239"/>
        <item x="232"/>
        <item x="106"/>
        <item x="253"/>
        <item x="182"/>
        <item x="116"/>
        <item x="188"/>
        <item x="23"/>
        <item x="240"/>
        <item x="9"/>
        <item x="144"/>
        <item x="230"/>
        <item x="250"/>
        <item x="82"/>
        <item x="171"/>
        <item x="255"/>
        <item x="123"/>
        <item x="107"/>
        <item x="95"/>
        <item x="48"/>
        <item x="131"/>
        <item x="47"/>
        <item x="33"/>
        <item x="275"/>
        <item x="216"/>
        <item x="137"/>
        <item x="200"/>
        <item x="40"/>
        <item x="156"/>
        <item x="55"/>
        <item x="114"/>
        <item x="36"/>
        <item x="118"/>
        <item x="223"/>
        <item x="157"/>
        <item x="3"/>
        <item x="209"/>
        <item x="109"/>
        <item x="134"/>
        <item x="37"/>
        <item x="170"/>
        <item x="154"/>
        <item x="222"/>
        <item x="265"/>
        <item x="228"/>
        <item x="243"/>
        <item x="213"/>
        <item x="242"/>
        <item x="264"/>
        <item x="84"/>
        <item x="85"/>
        <item x="12"/>
        <item x="180"/>
        <item t="default"/>
      </items>
    </pivotField>
    <pivotField numFmtId="14" showAll="0">
      <items count="332">
        <item x="281"/>
        <item x="259"/>
        <item x="241"/>
        <item x="265"/>
        <item x="79"/>
        <item x="71"/>
        <item x="152"/>
        <item x="147"/>
        <item x="121"/>
        <item x="146"/>
        <item x="182"/>
        <item x="108"/>
        <item x="209"/>
        <item x="10"/>
        <item x="287"/>
        <item x="132"/>
        <item x="232"/>
        <item x="185"/>
        <item x="330"/>
        <item x="131"/>
        <item x="186"/>
        <item x="97"/>
        <item x="3"/>
        <item x="123"/>
        <item x="128"/>
        <item x="174"/>
        <item x="116"/>
        <item x="4"/>
        <item x="298"/>
        <item x="217"/>
        <item x="17"/>
        <item x="190"/>
        <item x="65"/>
        <item x="107"/>
        <item x="84"/>
        <item x="148"/>
        <item x="96"/>
        <item x="40"/>
        <item x="68"/>
        <item x="62"/>
        <item x="7"/>
        <item x="93"/>
        <item x="183"/>
        <item x="140"/>
        <item x="205"/>
        <item x="274"/>
        <item x="24"/>
        <item x="237"/>
        <item x="74"/>
        <item x="35"/>
        <item x="133"/>
        <item x="254"/>
        <item x="102"/>
        <item x="101"/>
        <item x="221"/>
        <item x="111"/>
        <item x="165"/>
        <item x="161"/>
        <item x="266"/>
        <item x="120"/>
        <item x="184"/>
        <item x="301"/>
        <item x="272"/>
        <item x="295"/>
        <item x="9"/>
        <item x="264"/>
        <item x="315"/>
        <item x="12"/>
        <item x="59"/>
        <item x="247"/>
        <item x="48"/>
        <item x="20"/>
        <item x="90"/>
        <item x="64"/>
        <item x="282"/>
        <item x="82"/>
        <item x="260"/>
        <item x="170"/>
        <item x="129"/>
        <item x="212"/>
        <item x="218"/>
        <item x="328"/>
        <item x="22"/>
        <item x="316"/>
        <item x="88"/>
        <item x="141"/>
        <item x="261"/>
        <item x="207"/>
        <item x="324"/>
        <item x="127"/>
        <item x="36"/>
        <item x="277"/>
        <item x="213"/>
        <item x="47"/>
        <item x="279"/>
        <item x="258"/>
        <item x="253"/>
        <item x="75"/>
        <item x="244"/>
        <item x="91"/>
        <item x="206"/>
        <item x="0"/>
        <item x="153"/>
        <item x="196"/>
        <item x="37"/>
        <item x="223"/>
        <item x="138"/>
        <item x="136"/>
        <item x="306"/>
        <item x="19"/>
        <item x="263"/>
        <item x="248"/>
        <item x="77"/>
        <item x="130"/>
        <item x="14"/>
        <item x="60"/>
        <item x="113"/>
        <item x="23"/>
        <item x="291"/>
        <item x="61"/>
        <item x="303"/>
        <item x="240"/>
        <item x="231"/>
        <item x="251"/>
        <item x="81"/>
        <item x="239"/>
        <item x="267"/>
        <item x="54"/>
        <item x="162"/>
        <item x="149"/>
        <item x="224"/>
        <item x="13"/>
        <item x="309"/>
        <item x="2"/>
        <item x="192"/>
        <item x="86"/>
        <item x="55"/>
        <item x="106"/>
        <item x="302"/>
        <item x="199"/>
        <item x="225"/>
        <item x="41"/>
        <item x="178"/>
        <item x="158"/>
        <item x="198"/>
        <item x="293"/>
        <item x="271"/>
        <item x="5"/>
        <item x="139"/>
        <item x="85"/>
        <item x="70"/>
        <item x="110"/>
        <item x="8"/>
        <item x="16"/>
        <item x="289"/>
        <item x="160"/>
        <item x="118"/>
        <item x="6"/>
        <item x="46"/>
        <item x="220"/>
        <item x="270"/>
        <item x="122"/>
        <item x="137"/>
        <item x="92"/>
        <item x="250"/>
        <item x="109"/>
        <item x="242"/>
        <item x="230"/>
        <item x="325"/>
        <item x="249"/>
        <item x="45"/>
        <item x="135"/>
        <item x="50"/>
        <item x="195"/>
        <item x="155"/>
        <item x="308"/>
        <item x="280"/>
        <item x="169"/>
        <item x="233"/>
        <item x="143"/>
        <item x="30"/>
        <item x="164"/>
        <item x="150"/>
        <item x="187"/>
        <item x="29"/>
        <item x="314"/>
        <item x="188"/>
        <item x="204"/>
        <item x="103"/>
        <item x="255"/>
        <item x="67"/>
        <item x="262"/>
        <item x="73"/>
        <item x="83"/>
        <item x="243"/>
        <item x="154"/>
        <item x="80"/>
        <item x="283"/>
        <item x="28"/>
        <item x="119"/>
        <item x="294"/>
        <item x="268"/>
        <item x="163"/>
        <item x="194"/>
        <item x="144"/>
        <item x="49"/>
        <item x="227"/>
        <item x="327"/>
        <item x="58"/>
        <item x="26"/>
        <item x="72"/>
        <item x="246"/>
        <item x="172"/>
        <item x="1"/>
        <item x="87"/>
        <item x="329"/>
        <item x="134"/>
        <item x="104"/>
        <item x="238"/>
        <item x="181"/>
        <item x="69"/>
        <item x="228"/>
        <item x="269"/>
        <item x="320"/>
        <item x="326"/>
        <item x="234"/>
        <item x="290"/>
        <item x="99"/>
        <item x="151"/>
        <item x="159"/>
        <item x="191"/>
        <item x="39"/>
        <item x="21"/>
        <item x="211"/>
        <item x="307"/>
        <item x="25"/>
        <item x="100"/>
        <item x="117"/>
        <item x="273"/>
        <item x="175"/>
        <item x="63"/>
        <item x="18"/>
        <item x="216"/>
        <item x="222"/>
        <item x="52"/>
        <item x="323"/>
        <item x="296"/>
        <item x="31"/>
        <item x="288"/>
        <item x="203"/>
        <item x="57"/>
        <item x="98"/>
        <item x="286"/>
        <item x="11"/>
        <item x="94"/>
        <item x="173"/>
        <item x="236"/>
        <item x="168"/>
        <item x="317"/>
        <item x="115"/>
        <item x="321"/>
        <item x="43"/>
        <item x="180"/>
        <item x="256"/>
        <item x="313"/>
        <item x="76"/>
        <item x="33"/>
        <item x="34"/>
        <item x="157"/>
        <item x="252"/>
        <item x="200"/>
        <item x="167"/>
        <item x="56"/>
        <item x="32"/>
        <item x="124"/>
        <item x="305"/>
        <item x="38"/>
        <item x="15"/>
        <item x="114"/>
        <item x="284"/>
        <item x="42"/>
        <item x="292"/>
        <item x="89"/>
        <item x="105"/>
        <item x="276"/>
        <item x="142"/>
        <item x="95"/>
        <item x="215"/>
        <item x="304"/>
        <item x="311"/>
        <item x="176"/>
        <item x="278"/>
        <item x="257"/>
        <item x="78"/>
        <item x="51"/>
        <item x="208"/>
        <item x="297"/>
        <item x="171"/>
        <item x="214"/>
        <item x="27"/>
        <item x="235"/>
        <item x="145"/>
        <item x="210"/>
        <item x="126"/>
        <item x="44"/>
        <item x="202"/>
        <item x="245"/>
        <item x="156"/>
        <item x="300"/>
        <item x="229"/>
        <item x="312"/>
        <item x="166"/>
        <item x="310"/>
        <item x="189"/>
        <item x="193"/>
        <item x="226"/>
        <item x="179"/>
        <item x="299"/>
        <item x="219"/>
        <item x="319"/>
        <item x="66"/>
        <item x="285"/>
        <item x="112"/>
        <item x="53"/>
        <item x="322"/>
        <item x="125"/>
        <item x="177"/>
        <item x="318"/>
        <item x="201"/>
        <item x="197"/>
        <item x="275"/>
        <item t="default"/>
      </items>
    </pivotField>
    <pivotField showAll="0"/>
    <pivotField axis="axisRow" showAll="0">
      <items count="5">
        <item x="2"/>
        <item x="0"/>
        <item x="1"/>
        <item x="3"/>
        <item t="default"/>
      </items>
    </pivotField>
    <pivotField dataField="1" showAll="0"/>
    <pivotField showAll="0"/>
    <pivotField showAll="0" defaultSubtotal="0"/>
    <pivotField showAll="0" defaultSubtotal="0"/>
    <pivotField showAll="0" defaultSubtotal="0">
      <items count="4">
        <item x="0"/>
        <item x="1"/>
        <item x="2"/>
        <item x="3"/>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9"/>
  </rowFields>
  <rowItems count="5">
    <i>
      <x/>
    </i>
    <i>
      <x v="1"/>
    </i>
    <i>
      <x v="2"/>
    </i>
    <i>
      <x v="3"/>
    </i>
    <i t="grand">
      <x/>
    </i>
  </rowItems>
  <colItems count="1">
    <i/>
  </colItems>
  <dataFields count="1">
    <dataField name="Sum of amoun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BCA44A9-12C2-4548-96DB-E8743A2D102C}"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8" firstHeaderRow="1" firstDataRow="1" firstDataCol="1"/>
  <pivotFields count="18">
    <pivotField dataField="1" showAll="0"/>
    <pivotField showAll="0"/>
    <pivotField showAll="0"/>
    <pivotField showAll="0"/>
    <pivotField showAll="0"/>
    <pivotField showAll="0"/>
    <pivotField numFmtId="14" showAll="0">
      <items count="280">
        <item x="62"/>
        <item x="51"/>
        <item x="237"/>
        <item x="193"/>
        <item x="266"/>
        <item x="42"/>
        <item x="238"/>
        <item x="81"/>
        <item x="93"/>
        <item x="234"/>
        <item x="261"/>
        <item x="143"/>
        <item x="260"/>
        <item x="80"/>
        <item x="192"/>
        <item x="27"/>
        <item x="262"/>
        <item x="67"/>
        <item x="278"/>
        <item x="236"/>
        <item x="196"/>
        <item x="151"/>
        <item x="187"/>
        <item x="179"/>
        <item x="235"/>
        <item x="204"/>
        <item x="104"/>
        <item x="218"/>
        <item x="1"/>
        <item x="57"/>
        <item x="125"/>
        <item x="96"/>
        <item x="66"/>
        <item x="122"/>
        <item x="56"/>
        <item x="76"/>
        <item x="248"/>
        <item x="10"/>
        <item x="202"/>
        <item x="72"/>
        <item x="110"/>
        <item x="8"/>
        <item x="89"/>
        <item x="0"/>
        <item x="212"/>
        <item x="210"/>
        <item x="119"/>
        <item x="220"/>
        <item x="19"/>
        <item x="75"/>
        <item x="251"/>
        <item x="79"/>
        <item x="186"/>
        <item x="105"/>
        <item x="175"/>
        <item x="78"/>
        <item x="159"/>
        <item x="15"/>
        <item x="46"/>
        <item x="130"/>
        <item x="166"/>
        <item x="206"/>
        <item x="276"/>
        <item x="273"/>
        <item x="271"/>
        <item x="142"/>
        <item x="124"/>
        <item x="203"/>
        <item x="101"/>
        <item x="153"/>
        <item x="115"/>
        <item x="219"/>
        <item x="49"/>
        <item x="11"/>
        <item x="129"/>
        <item x="135"/>
        <item x="241"/>
        <item x="133"/>
        <item x="274"/>
        <item x="152"/>
        <item x="227"/>
        <item x="97"/>
        <item x="140"/>
        <item x="25"/>
        <item x="189"/>
        <item x="158"/>
        <item x="190"/>
        <item x="31"/>
        <item x="164"/>
        <item x="254"/>
        <item x="147"/>
        <item x="195"/>
        <item x="256"/>
        <item x="71"/>
        <item x="184"/>
        <item x="4"/>
        <item x="199"/>
        <item x="185"/>
        <item x="26"/>
        <item x="24"/>
        <item x="217"/>
        <item x="28"/>
        <item x="176"/>
        <item x="146"/>
        <item x="128"/>
        <item x="22"/>
        <item x="201"/>
        <item x="18"/>
        <item x="87"/>
        <item x="98"/>
        <item x="252"/>
        <item x="2"/>
        <item x="83"/>
        <item x="148"/>
        <item x="113"/>
        <item x="207"/>
        <item x="117"/>
        <item x="88"/>
        <item x="181"/>
        <item x="41"/>
        <item x="160"/>
        <item x="17"/>
        <item x="172"/>
        <item x="183"/>
        <item x="161"/>
        <item x="155"/>
        <item x="277"/>
        <item x="16"/>
        <item x="145"/>
        <item x="174"/>
        <item x="112"/>
        <item x="63"/>
        <item x="43"/>
        <item x="269"/>
        <item x="168"/>
        <item x="231"/>
        <item x="61"/>
        <item x="21"/>
        <item x="136"/>
        <item x="6"/>
        <item x="100"/>
        <item x="257"/>
        <item x="69"/>
        <item x="32"/>
        <item x="224"/>
        <item x="263"/>
        <item x="7"/>
        <item x="163"/>
        <item x="272"/>
        <item x="86"/>
        <item x="103"/>
        <item x="73"/>
        <item x="34"/>
        <item x="194"/>
        <item x="162"/>
        <item x="68"/>
        <item x="70"/>
        <item x="177"/>
        <item x="58"/>
        <item x="268"/>
        <item x="229"/>
        <item x="45"/>
        <item x="65"/>
        <item x="35"/>
        <item x="102"/>
        <item x="60"/>
        <item x="44"/>
        <item x="121"/>
        <item x="13"/>
        <item x="198"/>
        <item x="5"/>
        <item x="30"/>
        <item x="74"/>
        <item x="191"/>
        <item x="126"/>
        <item x="208"/>
        <item x="173"/>
        <item x="178"/>
        <item x="258"/>
        <item x="214"/>
        <item x="52"/>
        <item x="39"/>
        <item x="221"/>
        <item x="246"/>
        <item x="77"/>
        <item x="233"/>
        <item x="150"/>
        <item x="53"/>
        <item x="211"/>
        <item x="245"/>
        <item x="267"/>
        <item x="244"/>
        <item x="225"/>
        <item x="99"/>
        <item x="20"/>
        <item x="127"/>
        <item x="29"/>
        <item x="249"/>
        <item x="38"/>
        <item x="169"/>
        <item x="14"/>
        <item x="120"/>
        <item x="149"/>
        <item x="138"/>
        <item x="205"/>
        <item x="139"/>
        <item x="167"/>
        <item x="226"/>
        <item x="111"/>
        <item x="92"/>
        <item x="54"/>
        <item x="50"/>
        <item x="90"/>
        <item x="141"/>
        <item x="197"/>
        <item x="64"/>
        <item x="215"/>
        <item x="132"/>
        <item x="108"/>
        <item x="59"/>
        <item x="165"/>
        <item x="91"/>
        <item x="270"/>
        <item x="247"/>
        <item x="94"/>
        <item x="259"/>
        <item x="239"/>
        <item x="232"/>
        <item x="106"/>
        <item x="253"/>
        <item x="182"/>
        <item x="116"/>
        <item x="188"/>
        <item x="23"/>
        <item x="240"/>
        <item x="9"/>
        <item x="144"/>
        <item x="230"/>
        <item x="250"/>
        <item x="82"/>
        <item x="171"/>
        <item x="255"/>
        <item x="123"/>
        <item x="107"/>
        <item x="95"/>
        <item x="48"/>
        <item x="131"/>
        <item x="47"/>
        <item x="33"/>
        <item x="275"/>
        <item x="216"/>
        <item x="137"/>
        <item x="200"/>
        <item x="40"/>
        <item x="156"/>
        <item x="55"/>
        <item x="114"/>
        <item x="36"/>
        <item x="118"/>
        <item x="223"/>
        <item x="157"/>
        <item x="3"/>
        <item x="209"/>
        <item x="109"/>
        <item x="134"/>
        <item x="37"/>
        <item x="170"/>
        <item x="154"/>
        <item x="222"/>
        <item x="265"/>
        <item x="228"/>
        <item x="243"/>
        <item x="213"/>
        <item x="242"/>
        <item x="264"/>
        <item x="84"/>
        <item x="85"/>
        <item x="12"/>
        <item x="180"/>
        <item t="default"/>
      </items>
    </pivotField>
    <pivotField numFmtId="14" showAll="0">
      <items count="332">
        <item x="281"/>
        <item x="259"/>
        <item x="241"/>
        <item x="265"/>
        <item x="79"/>
        <item x="71"/>
        <item x="152"/>
        <item x="147"/>
        <item x="121"/>
        <item x="146"/>
        <item x="182"/>
        <item x="108"/>
        <item x="209"/>
        <item x="10"/>
        <item x="287"/>
        <item x="132"/>
        <item x="232"/>
        <item x="185"/>
        <item x="330"/>
        <item x="131"/>
        <item x="186"/>
        <item x="97"/>
        <item x="3"/>
        <item x="123"/>
        <item x="128"/>
        <item x="174"/>
        <item x="116"/>
        <item x="4"/>
        <item x="298"/>
        <item x="217"/>
        <item x="17"/>
        <item x="190"/>
        <item x="65"/>
        <item x="107"/>
        <item x="84"/>
        <item x="148"/>
        <item x="96"/>
        <item x="40"/>
        <item x="68"/>
        <item x="62"/>
        <item x="7"/>
        <item x="93"/>
        <item x="183"/>
        <item x="140"/>
        <item x="205"/>
        <item x="274"/>
        <item x="24"/>
        <item x="237"/>
        <item x="74"/>
        <item x="35"/>
        <item x="133"/>
        <item x="254"/>
        <item x="102"/>
        <item x="101"/>
        <item x="221"/>
        <item x="111"/>
        <item x="165"/>
        <item x="161"/>
        <item x="266"/>
        <item x="120"/>
        <item x="184"/>
        <item x="301"/>
        <item x="272"/>
        <item x="295"/>
        <item x="9"/>
        <item x="264"/>
        <item x="315"/>
        <item x="12"/>
        <item x="59"/>
        <item x="247"/>
        <item x="48"/>
        <item x="20"/>
        <item x="90"/>
        <item x="64"/>
        <item x="282"/>
        <item x="82"/>
        <item x="260"/>
        <item x="170"/>
        <item x="129"/>
        <item x="212"/>
        <item x="218"/>
        <item x="328"/>
        <item x="22"/>
        <item x="316"/>
        <item x="88"/>
        <item x="141"/>
        <item x="261"/>
        <item x="207"/>
        <item x="324"/>
        <item x="127"/>
        <item x="36"/>
        <item x="277"/>
        <item x="213"/>
        <item x="47"/>
        <item x="279"/>
        <item x="258"/>
        <item x="253"/>
        <item x="75"/>
        <item x="244"/>
        <item x="91"/>
        <item x="206"/>
        <item x="0"/>
        <item x="153"/>
        <item x="196"/>
        <item x="37"/>
        <item x="223"/>
        <item x="138"/>
        <item x="136"/>
        <item x="306"/>
        <item x="19"/>
        <item x="263"/>
        <item x="248"/>
        <item x="77"/>
        <item x="130"/>
        <item x="14"/>
        <item x="60"/>
        <item x="113"/>
        <item x="23"/>
        <item x="291"/>
        <item x="61"/>
        <item x="303"/>
        <item x="240"/>
        <item x="231"/>
        <item x="251"/>
        <item x="81"/>
        <item x="239"/>
        <item x="267"/>
        <item x="54"/>
        <item x="162"/>
        <item x="149"/>
        <item x="224"/>
        <item x="13"/>
        <item x="309"/>
        <item x="2"/>
        <item x="192"/>
        <item x="86"/>
        <item x="55"/>
        <item x="106"/>
        <item x="302"/>
        <item x="199"/>
        <item x="225"/>
        <item x="41"/>
        <item x="178"/>
        <item x="158"/>
        <item x="198"/>
        <item x="293"/>
        <item x="271"/>
        <item x="5"/>
        <item x="139"/>
        <item x="85"/>
        <item x="70"/>
        <item x="110"/>
        <item x="8"/>
        <item x="16"/>
        <item x="289"/>
        <item x="160"/>
        <item x="118"/>
        <item x="6"/>
        <item x="46"/>
        <item x="220"/>
        <item x="270"/>
        <item x="122"/>
        <item x="137"/>
        <item x="92"/>
        <item x="250"/>
        <item x="109"/>
        <item x="242"/>
        <item x="230"/>
        <item x="325"/>
        <item x="249"/>
        <item x="45"/>
        <item x="135"/>
        <item x="50"/>
        <item x="195"/>
        <item x="155"/>
        <item x="308"/>
        <item x="280"/>
        <item x="169"/>
        <item x="233"/>
        <item x="143"/>
        <item x="30"/>
        <item x="164"/>
        <item x="150"/>
        <item x="187"/>
        <item x="29"/>
        <item x="314"/>
        <item x="188"/>
        <item x="204"/>
        <item x="103"/>
        <item x="255"/>
        <item x="67"/>
        <item x="262"/>
        <item x="73"/>
        <item x="83"/>
        <item x="243"/>
        <item x="154"/>
        <item x="80"/>
        <item x="283"/>
        <item x="28"/>
        <item x="119"/>
        <item x="294"/>
        <item x="268"/>
        <item x="163"/>
        <item x="194"/>
        <item x="144"/>
        <item x="49"/>
        <item x="227"/>
        <item x="327"/>
        <item x="58"/>
        <item x="26"/>
        <item x="72"/>
        <item x="246"/>
        <item x="172"/>
        <item x="1"/>
        <item x="87"/>
        <item x="329"/>
        <item x="134"/>
        <item x="104"/>
        <item x="238"/>
        <item x="181"/>
        <item x="69"/>
        <item x="228"/>
        <item x="269"/>
        <item x="320"/>
        <item x="326"/>
        <item x="234"/>
        <item x="290"/>
        <item x="99"/>
        <item x="151"/>
        <item x="159"/>
        <item x="191"/>
        <item x="39"/>
        <item x="21"/>
        <item x="211"/>
        <item x="307"/>
        <item x="25"/>
        <item x="100"/>
        <item x="117"/>
        <item x="273"/>
        <item x="175"/>
        <item x="63"/>
        <item x="18"/>
        <item x="216"/>
        <item x="222"/>
        <item x="52"/>
        <item x="323"/>
        <item x="296"/>
        <item x="31"/>
        <item x="288"/>
        <item x="203"/>
        <item x="57"/>
        <item x="98"/>
        <item x="286"/>
        <item x="11"/>
        <item x="94"/>
        <item x="173"/>
        <item x="236"/>
        <item x="168"/>
        <item x="317"/>
        <item x="115"/>
        <item x="321"/>
        <item x="43"/>
        <item x="180"/>
        <item x="256"/>
        <item x="313"/>
        <item x="76"/>
        <item x="33"/>
        <item x="34"/>
        <item x="157"/>
        <item x="252"/>
        <item x="200"/>
        <item x="167"/>
        <item x="56"/>
        <item x="32"/>
        <item x="124"/>
        <item x="305"/>
        <item x="38"/>
        <item x="15"/>
        <item x="114"/>
        <item x="284"/>
        <item x="42"/>
        <item x="292"/>
        <item x="89"/>
        <item x="105"/>
        <item x="276"/>
        <item x="142"/>
        <item x="95"/>
        <item x="215"/>
        <item x="304"/>
        <item x="311"/>
        <item x="176"/>
        <item x="278"/>
        <item x="257"/>
        <item x="78"/>
        <item x="51"/>
        <item x="208"/>
        <item x="297"/>
        <item x="171"/>
        <item x="214"/>
        <item x="27"/>
        <item x="235"/>
        <item x="145"/>
        <item x="210"/>
        <item x="126"/>
        <item x="44"/>
        <item x="202"/>
        <item x="245"/>
        <item x="156"/>
        <item x="300"/>
        <item x="229"/>
        <item x="312"/>
        <item x="166"/>
        <item x="310"/>
        <item x="189"/>
        <item x="193"/>
        <item x="226"/>
        <item x="179"/>
        <item x="299"/>
        <item x="219"/>
        <item x="319"/>
        <item x="66"/>
        <item x="285"/>
        <item x="112"/>
        <item x="53"/>
        <item x="322"/>
        <item x="125"/>
        <item x="177"/>
        <item x="318"/>
        <item x="201"/>
        <item x="197"/>
        <item x="275"/>
        <item t="default"/>
      </items>
    </pivotField>
    <pivotField showAll="0"/>
    <pivotField axis="axisRow" showAll="0">
      <items count="5">
        <item x="2"/>
        <item x="0"/>
        <item x="1"/>
        <item x="3"/>
        <item t="default"/>
      </items>
    </pivotField>
    <pivotField showAll="0"/>
    <pivotField showAll="0"/>
    <pivotField showAll="0" defaultSubtotal="0"/>
    <pivotField showAll="0" defaultSubtotal="0"/>
    <pivotField showAll="0" defaultSubtotal="0">
      <items count="4">
        <item x="0"/>
        <item x="1"/>
        <item x="2"/>
        <item x="3"/>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9"/>
  </rowFields>
  <rowItems count="5">
    <i>
      <x/>
    </i>
    <i>
      <x v="1"/>
    </i>
    <i>
      <x v="2"/>
    </i>
    <i>
      <x v="3"/>
    </i>
    <i t="grand">
      <x/>
    </i>
  </rowItems>
  <colItems count="1">
    <i/>
  </colItems>
  <dataFields count="1">
    <dataField name="Count of pati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E56F52E-6775-4568-B83E-F9587823DD37}" sourceName="department">
  <pivotTables>
    <pivotTable tabId="3" name="PivotTable2"/>
    <pivotTable tabId="2" name="PivotTable1"/>
    <pivotTable tabId="4" name="PivotTable3"/>
    <pivotTable tabId="6" name="PivotTable1"/>
    <pivotTable tabId="12" name="PivotTable7"/>
    <pivotTable tabId="13" name="PivotTable8"/>
  </pivotTables>
  <data>
    <tabular pivotCacheId="1502774078">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B14C86B5-FCFD-4FD4-B7CA-AC688B39ABC8}" cache="Slicer_department" caption="department"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2" xr10:uid="{A9F6FEA7-65C2-4619-80EC-F2982A4A6D33}" cache="Slicer_department" caption="department"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3" xr10:uid="{71FD2C43-C477-4860-8A1B-9759D7A92BE1}" cache="Slicer_department" caption="department"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A75A7E60-4584-455C-A8D6-B17877A1C5E6}" cache="Slicer_department" caption="department" columnCount="4" rowHeight="504000"/>
</slicers>
</file>

<file path=xl/theme/theme1.xml><?xml version="1.0" encoding="utf-8"?>
<a:theme xmlns:a="http://schemas.openxmlformats.org/drawingml/2006/main" name="Office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booking_date" xr10:uid="{BD992FA3-9DB3-4B74-AABB-8AA0504C3E32}" sourceName="booking_date ">
  <pivotTables>
    <pivotTable tabId="4" name="PivotTable3"/>
    <pivotTable tabId="12" name="PivotTable7"/>
    <pivotTable tabId="13" name="PivotTable8"/>
    <pivotTable tabId="2" name="PivotTable1"/>
    <pivotTable tabId="3" name="PivotTable2"/>
    <pivotTable tabId="6" name="PivotTable1"/>
  </pivotTables>
  <state minimalRefreshVersion="6" lastRefreshVersion="6" pivotCacheId="1502774078" filterType="unknown">
    <bounds startDate="2024-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booking_date " xr10:uid="{77B77431-576A-4398-917A-70943A2FEC3D}" cache="NativeTimeline_booking_date" caption="Months" showSelectionLabel="0" showHorizontalScrollbar="0" level="2" selectionLevel="2" scrollPosition="2024-01-01T00:00:00"/>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4.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5F5A3-5D0F-4474-A741-A96963207AB4}">
  <dimension ref="A3:D9"/>
  <sheetViews>
    <sheetView workbookViewId="0">
      <selection activeCell="C6" sqref="C6"/>
    </sheetView>
  </sheetViews>
  <sheetFormatPr defaultRowHeight="14.5" x14ac:dyDescent="0.35"/>
  <cols>
    <col min="1" max="1" width="14.08984375" bestFit="1" customWidth="1"/>
    <col min="2" max="2" width="15.6328125" bestFit="1" customWidth="1"/>
    <col min="3" max="3" width="4.81640625" bestFit="1" customWidth="1"/>
    <col min="4" max="4" width="10.36328125" bestFit="1" customWidth="1"/>
  </cols>
  <sheetData>
    <row r="3" spans="1:4" x14ac:dyDescent="0.35">
      <c r="A3" s="4" t="s">
        <v>942</v>
      </c>
      <c r="B3" s="4" t="s">
        <v>941</v>
      </c>
    </row>
    <row r="4" spans="1:4" x14ac:dyDescent="0.35">
      <c r="A4" s="4" t="s">
        <v>939</v>
      </c>
      <c r="B4" t="s">
        <v>9</v>
      </c>
      <c r="C4" t="s">
        <v>14</v>
      </c>
      <c r="D4" t="s">
        <v>940</v>
      </c>
    </row>
    <row r="5" spans="1:4" x14ac:dyDescent="0.35">
      <c r="A5" s="5" t="s">
        <v>26</v>
      </c>
      <c r="B5" s="10">
        <v>59</v>
      </c>
      <c r="C5" s="10">
        <v>50</v>
      </c>
      <c r="D5" s="10">
        <v>109</v>
      </c>
    </row>
    <row r="6" spans="1:4" x14ac:dyDescent="0.35">
      <c r="A6" s="5" t="s">
        <v>11</v>
      </c>
      <c r="B6" s="10">
        <v>67</v>
      </c>
      <c r="C6" s="10">
        <v>51</v>
      </c>
      <c r="D6" s="10">
        <v>118</v>
      </c>
    </row>
    <row r="7" spans="1:4" x14ac:dyDescent="0.35">
      <c r="A7" s="5" t="s">
        <v>16</v>
      </c>
      <c r="B7" s="10">
        <v>53</v>
      </c>
      <c r="C7" s="10">
        <v>66</v>
      </c>
      <c r="D7" s="10">
        <v>119</v>
      </c>
    </row>
    <row r="8" spans="1:4" x14ac:dyDescent="0.35">
      <c r="A8" s="5" t="s">
        <v>33</v>
      </c>
      <c r="B8" s="10">
        <v>67</v>
      </c>
      <c r="C8" s="10">
        <v>52</v>
      </c>
      <c r="D8" s="10">
        <v>119</v>
      </c>
    </row>
    <row r="9" spans="1:4" x14ac:dyDescent="0.35">
      <c r="A9" s="5" t="s">
        <v>940</v>
      </c>
      <c r="B9" s="10">
        <v>246</v>
      </c>
      <c r="C9" s="10">
        <v>219</v>
      </c>
      <c r="D9" s="10">
        <v>465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6F615-6AD3-42C7-815E-4B9C5BF9D83E}">
  <dimension ref="A1:B8"/>
  <sheetViews>
    <sheetView workbookViewId="0">
      <selection activeCell="A17" sqref="A17"/>
    </sheetView>
  </sheetViews>
  <sheetFormatPr defaultRowHeight="14.5" x14ac:dyDescent="0.35"/>
  <cols>
    <col min="1" max="1" width="12.453125" bestFit="1" customWidth="1"/>
    <col min="2" max="2" width="13.54296875" bestFit="1" customWidth="1"/>
    <col min="4" max="4" width="11" customWidth="1"/>
  </cols>
  <sheetData>
    <row r="1" spans="1:2" x14ac:dyDescent="0.35">
      <c r="A1" s="4" t="s">
        <v>939</v>
      </c>
      <c r="B1" t="s">
        <v>943</v>
      </c>
    </row>
    <row r="2" spans="1:2" x14ac:dyDescent="0.35">
      <c r="A2" s="5" t="s">
        <v>949</v>
      </c>
      <c r="B2" s="8">
        <v>1748196.8300000003</v>
      </c>
    </row>
    <row r="3" spans="1:2" x14ac:dyDescent="0.35">
      <c r="A3" s="5" t="s">
        <v>950</v>
      </c>
      <c r="B3" s="8">
        <v>1327933.4300000004</v>
      </c>
    </row>
    <row r="4" spans="1:2" x14ac:dyDescent="0.35">
      <c r="A4" s="5" t="s">
        <v>951</v>
      </c>
      <c r="B4" s="8">
        <v>1443147.5100000002</v>
      </c>
    </row>
    <row r="5" spans="1:2" x14ac:dyDescent="0.35">
      <c r="A5" s="5" t="s">
        <v>952</v>
      </c>
      <c r="B5" s="8">
        <v>1497008.0100000005</v>
      </c>
    </row>
    <row r="6" spans="1:2" x14ac:dyDescent="0.35">
      <c r="A6" s="5" t="s">
        <v>940</v>
      </c>
      <c r="B6" s="8">
        <v>6016285.7800000021</v>
      </c>
    </row>
    <row r="8" spans="1:2" x14ac:dyDescent="0.35">
      <c r="A8" t="str">
        <f>"Amount by Quarter (Peak: "&amp;INDEX(A2:A5,MATCH(MAX(B2:B5),B2:B5,0))&amp;")"</f>
        <v>Amount by Quarter (Peak: Qtr1)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AE07B-CEB4-49E7-AF2D-3BB317A34EA7}">
  <dimension ref="A1:C15"/>
  <sheetViews>
    <sheetView workbookViewId="0">
      <selection activeCell="N10" sqref="N10"/>
    </sheetView>
  </sheetViews>
  <sheetFormatPr defaultRowHeight="14.5" x14ac:dyDescent="0.35"/>
  <cols>
    <col min="1" max="1" width="24.54296875" bestFit="1" customWidth="1"/>
    <col min="2" max="2" width="3.08984375" bestFit="1" customWidth="1"/>
    <col min="3" max="3" width="3.81640625" bestFit="1" customWidth="1"/>
    <col min="4" max="4" width="10.1796875" customWidth="1"/>
  </cols>
  <sheetData>
    <row r="1" spans="1:3" x14ac:dyDescent="0.35">
      <c r="A1" s="4" t="s">
        <v>965</v>
      </c>
    </row>
    <row r="2" spans="1:3" x14ac:dyDescent="0.35">
      <c r="B2" t="s">
        <v>12</v>
      </c>
      <c r="C2" t="s">
        <v>19</v>
      </c>
    </row>
    <row r="3" spans="1:3" x14ac:dyDescent="0.35">
      <c r="A3" s="5" t="s">
        <v>964</v>
      </c>
      <c r="B3" s="10">
        <v>13</v>
      </c>
      <c r="C3" s="10">
        <v>21</v>
      </c>
    </row>
    <row r="4" spans="1:3" x14ac:dyDescent="0.35">
      <c r="A4" s="5" t="s">
        <v>953</v>
      </c>
      <c r="B4" s="10">
        <v>9</v>
      </c>
      <c r="C4" s="10">
        <v>15</v>
      </c>
    </row>
    <row r="5" spans="1:3" x14ac:dyDescent="0.35">
      <c r="A5" s="5" t="s">
        <v>954</v>
      </c>
      <c r="B5" s="10">
        <v>12</v>
      </c>
      <c r="C5" s="10">
        <v>21</v>
      </c>
    </row>
    <row r="6" spans="1:3" x14ac:dyDescent="0.35">
      <c r="A6" s="5" t="s">
        <v>955</v>
      </c>
      <c r="B6" s="10">
        <v>25</v>
      </c>
      <c r="C6" s="10">
        <v>21</v>
      </c>
    </row>
    <row r="7" spans="1:3" x14ac:dyDescent="0.35">
      <c r="A7" s="5" t="s">
        <v>956</v>
      </c>
      <c r="B7" s="10">
        <v>23</v>
      </c>
      <c r="C7" s="10">
        <v>30</v>
      </c>
    </row>
    <row r="8" spans="1:3" x14ac:dyDescent="0.35">
      <c r="A8" s="5" t="s">
        <v>957</v>
      </c>
      <c r="B8" s="10">
        <v>25</v>
      </c>
      <c r="C8" s="10">
        <v>25</v>
      </c>
    </row>
    <row r="9" spans="1:3" x14ac:dyDescent="0.35">
      <c r="A9" s="5" t="s">
        <v>958</v>
      </c>
      <c r="B9" s="10">
        <v>24</v>
      </c>
      <c r="C9" s="10">
        <v>21</v>
      </c>
    </row>
    <row r="10" spans="1:3" x14ac:dyDescent="0.35">
      <c r="A10" s="5" t="s">
        <v>959</v>
      </c>
      <c r="B10" s="10">
        <v>19</v>
      </c>
      <c r="C10" s="10">
        <v>21</v>
      </c>
    </row>
    <row r="11" spans="1:3" x14ac:dyDescent="0.35">
      <c r="A11" s="5" t="s">
        <v>960</v>
      </c>
      <c r="B11" s="10">
        <v>14</v>
      </c>
      <c r="C11" s="10">
        <v>16</v>
      </c>
    </row>
    <row r="12" spans="1:3" x14ac:dyDescent="0.35">
      <c r="A12" s="5" t="s">
        <v>961</v>
      </c>
      <c r="B12" s="10">
        <v>16</v>
      </c>
      <c r="C12" s="10">
        <v>12</v>
      </c>
    </row>
    <row r="13" spans="1:3" x14ac:dyDescent="0.35">
      <c r="A13" s="5" t="s">
        <v>962</v>
      </c>
      <c r="B13" s="10">
        <v>20</v>
      </c>
      <c r="C13" s="10">
        <v>20</v>
      </c>
    </row>
    <row r="14" spans="1:3" x14ac:dyDescent="0.35">
      <c r="A14" s="5" t="s">
        <v>963</v>
      </c>
      <c r="B14" s="10">
        <v>14</v>
      </c>
      <c r="C14" s="10">
        <v>28</v>
      </c>
    </row>
    <row r="15" spans="1:3" x14ac:dyDescent="0.35">
      <c r="B15">
        <f>SUM(B3:B14)</f>
        <v>214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D074B-2861-49F1-B4C3-4CA0E4EA98CB}">
  <dimension ref="A1:C5"/>
  <sheetViews>
    <sheetView workbookViewId="0">
      <selection activeCell="F19" sqref="F19"/>
    </sheetView>
  </sheetViews>
  <sheetFormatPr defaultRowHeight="14.5" x14ac:dyDescent="0.35"/>
  <cols>
    <col min="1" max="1" width="14.08984375" bestFit="1" customWidth="1"/>
    <col min="2" max="2" width="15.6328125" bestFit="1" customWidth="1"/>
    <col min="3" max="3" width="6.90625" bestFit="1" customWidth="1"/>
    <col min="4" max="4" width="10.36328125" bestFit="1" customWidth="1"/>
  </cols>
  <sheetData>
    <row r="1" spans="1:3" x14ac:dyDescent="0.35">
      <c r="A1" s="4" t="s">
        <v>942</v>
      </c>
      <c r="B1" s="4" t="s">
        <v>941</v>
      </c>
    </row>
    <row r="2" spans="1:3" x14ac:dyDescent="0.35">
      <c r="A2" s="4" t="s">
        <v>939</v>
      </c>
      <c r="B2" t="s">
        <v>9</v>
      </c>
      <c r="C2" t="s">
        <v>14</v>
      </c>
    </row>
    <row r="3" spans="1:3" x14ac:dyDescent="0.35">
      <c r="A3" s="5" t="s">
        <v>946</v>
      </c>
      <c r="B3" s="7">
        <v>0.27311827956989249</v>
      </c>
      <c r="C3" s="7">
        <v>0.21720430107526881</v>
      </c>
    </row>
    <row r="4" spans="1:3" x14ac:dyDescent="0.35">
      <c r="A4" s="5" t="s">
        <v>947</v>
      </c>
      <c r="B4" s="7">
        <v>0.23010752688172043</v>
      </c>
      <c r="C4" s="7">
        <v>0.22580645161290322</v>
      </c>
    </row>
    <row r="5" spans="1:3" x14ac:dyDescent="0.35">
      <c r="A5" s="5" t="s">
        <v>948</v>
      </c>
      <c r="B5" s="7">
        <v>2.5806451612903226E-2</v>
      </c>
      <c r="C5" s="7">
        <v>2.7956989247311829E-2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319C7-DDDA-4325-98BB-AEE9C3C5DAC2}">
  <dimension ref="A3:E10"/>
  <sheetViews>
    <sheetView workbookViewId="0">
      <selection activeCell="A11" sqref="A11"/>
    </sheetView>
  </sheetViews>
  <sheetFormatPr defaultRowHeight="14.5" x14ac:dyDescent="0.35"/>
  <cols>
    <col min="1" max="1" width="12.453125" bestFit="1" customWidth="1"/>
    <col min="2" max="2" width="13.54296875" bestFit="1" customWidth="1"/>
    <col min="3" max="3" width="3.7265625" customWidth="1"/>
    <col min="4" max="4" width="12.1796875" customWidth="1"/>
    <col min="5" max="5" width="10.26953125" bestFit="1" customWidth="1"/>
  </cols>
  <sheetData>
    <row r="3" spans="1:5" x14ac:dyDescent="0.35">
      <c r="A3" s="4" t="s">
        <v>939</v>
      </c>
      <c r="B3" t="s">
        <v>943</v>
      </c>
    </row>
    <row r="4" spans="1:5" x14ac:dyDescent="0.35">
      <c r="A4" s="5" t="s">
        <v>26</v>
      </c>
      <c r="B4" s="10">
        <v>1066422.3900000001</v>
      </c>
      <c r="D4" s="5" t="s">
        <v>26</v>
      </c>
      <c r="E4" s="8">
        <f>GETPIVOTDATA("amount",$A$3,"department","Cardiology")</f>
        <v>1066422.3900000001</v>
      </c>
    </row>
    <row r="5" spans="1:5" x14ac:dyDescent="0.35">
      <c r="A5" s="5" t="s">
        <v>11</v>
      </c>
      <c r="B5" s="10">
        <v>1495898.0999999996</v>
      </c>
      <c r="D5" s="5" t="s">
        <v>11</v>
      </c>
      <c r="E5" s="8">
        <f>GETPIVOTDATA("amount",$A$3,"department","General")</f>
        <v>1495898.0999999996</v>
      </c>
    </row>
    <row r="6" spans="1:5" x14ac:dyDescent="0.35">
      <c r="A6" s="5" t="s">
        <v>16</v>
      </c>
      <c r="B6" s="10">
        <v>1793856.9100000006</v>
      </c>
      <c r="D6" s="5" t="s">
        <v>16</v>
      </c>
      <c r="E6" s="8">
        <f>GETPIVOTDATA("amount",$A$3,"department","Neurology")</f>
        <v>1793856.9100000006</v>
      </c>
    </row>
    <row r="7" spans="1:5" x14ac:dyDescent="0.35">
      <c r="A7" s="5" t="s">
        <v>33</v>
      </c>
      <c r="B7" s="10">
        <v>1660108.3800000008</v>
      </c>
      <c r="D7" s="5" t="s">
        <v>33</v>
      </c>
      <c r="E7" s="8">
        <f>GETPIVOTDATA("amount",$A$3,"department","Orthopedics")</f>
        <v>1660108.3800000008</v>
      </c>
    </row>
    <row r="8" spans="1:5" x14ac:dyDescent="0.35">
      <c r="A8" s="5" t="s">
        <v>940</v>
      </c>
      <c r="B8" s="10">
        <v>6016285.7800000012</v>
      </c>
      <c r="D8" s="9" t="s">
        <v>940</v>
      </c>
      <c r="E8" s="8">
        <f>SUM(E4:E7)</f>
        <v>6016285.7800000012</v>
      </c>
    </row>
    <row r="10" spans="1:5" x14ac:dyDescent="0.35">
      <c r="A10" t="str">
        <f>"Department wise Total Amount (Top: "&amp;INDEX(A4:A7,MATCH(MAX(B4:B7),B4:B7,0))&amp;")"</f>
        <v>Department wise Total Amount (Top: Neurology)</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A03D3-BF9E-4754-BC28-288FF32D679E}">
  <dimension ref="A3:E8"/>
  <sheetViews>
    <sheetView workbookViewId="0">
      <selection activeCell="K21" sqref="K21"/>
    </sheetView>
  </sheetViews>
  <sheetFormatPr defaultRowHeight="14.5" x14ac:dyDescent="0.35"/>
  <cols>
    <col min="1" max="1" width="12.453125" bestFit="1" customWidth="1"/>
    <col min="2" max="2" width="16.81640625" bestFit="1" customWidth="1"/>
    <col min="3" max="3" width="4.7265625" customWidth="1"/>
    <col min="4" max="4" width="10.26953125" customWidth="1"/>
  </cols>
  <sheetData>
    <row r="3" spans="1:5" x14ac:dyDescent="0.35">
      <c r="A3" s="4" t="s">
        <v>939</v>
      </c>
      <c r="B3" t="s">
        <v>944</v>
      </c>
    </row>
    <row r="4" spans="1:5" x14ac:dyDescent="0.35">
      <c r="A4" s="5" t="s">
        <v>26</v>
      </c>
      <c r="B4" s="10">
        <v>109</v>
      </c>
      <c r="D4" s="5" t="s">
        <v>26</v>
      </c>
      <c r="E4">
        <f>GETPIVOTDATA("patient_id",$A$3,"department","Cardiology")</f>
        <v>109</v>
      </c>
    </row>
    <row r="5" spans="1:5" x14ac:dyDescent="0.35">
      <c r="A5" s="5" t="s">
        <v>11</v>
      </c>
      <c r="B5" s="10">
        <v>118</v>
      </c>
      <c r="D5" s="5" t="s">
        <v>11</v>
      </c>
      <c r="E5">
        <f>GETPIVOTDATA("patient_id",$A$3,"department","General")</f>
        <v>118</v>
      </c>
    </row>
    <row r="6" spans="1:5" x14ac:dyDescent="0.35">
      <c r="A6" s="5" t="s">
        <v>16</v>
      </c>
      <c r="B6" s="10">
        <v>119</v>
      </c>
      <c r="D6" s="5" t="s">
        <v>16</v>
      </c>
      <c r="E6">
        <f>GETPIVOTDATA("patient_id",$A$3,"department","Neurology")</f>
        <v>119</v>
      </c>
    </row>
    <row r="7" spans="1:5" x14ac:dyDescent="0.35">
      <c r="A7" s="5" t="s">
        <v>33</v>
      </c>
      <c r="B7" s="10">
        <v>119</v>
      </c>
      <c r="D7" s="5" t="s">
        <v>33</v>
      </c>
      <c r="E7">
        <f>GETPIVOTDATA("patient_id",$A$3,"department","Orthopedics")</f>
        <v>119</v>
      </c>
    </row>
    <row r="8" spans="1:5" x14ac:dyDescent="0.35">
      <c r="A8" s="5" t="s">
        <v>940</v>
      </c>
      <c r="B8" s="10">
        <v>465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AB28A-6698-461E-AF6D-3F83C1C5CCEA}">
  <dimension ref="A1:M466"/>
  <sheetViews>
    <sheetView workbookViewId="0">
      <selection activeCell="G14" sqref="G14"/>
    </sheetView>
  </sheetViews>
  <sheetFormatPr defaultRowHeight="14.5" x14ac:dyDescent="0.35"/>
  <cols>
    <col min="1" max="1" width="8.81640625" bestFit="1" customWidth="1"/>
    <col min="2" max="2" width="13.453125" bestFit="1" customWidth="1"/>
    <col min="3" max="3" width="21.7265625" bestFit="1" customWidth="1"/>
    <col min="4" max="5" width="9.26953125" customWidth="1"/>
    <col min="6" max="6" width="10" customWidth="1"/>
    <col min="7" max="7" width="22.90625" customWidth="1"/>
    <col min="8" max="8" width="17" customWidth="1"/>
    <col min="9" max="9" width="22.453125" customWidth="1"/>
    <col min="10" max="10" width="12.1796875" customWidth="1"/>
    <col min="11" max="11" width="14.54296875" customWidth="1"/>
    <col min="12" max="12" width="18.26953125" customWidth="1"/>
  </cols>
  <sheetData>
    <row r="1" spans="1:13" x14ac:dyDescent="0.35">
      <c r="A1" s="1" t="s">
        <v>0</v>
      </c>
      <c r="B1" s="1" t="s">
        <v>1</v>
      </c>
      <c r="C1" s="1" t="s">
        <v>2</v>
      </c>
      <c r="D1" s="1" t="s">
        <v>3</v>
      </c>
      <c r="E1" s="1" t="s">
        <v>945</v>
      </c>
      <c r="F1" s="1" t="s">
        <v>4</v>
      </c>
      <c r="G1" s="1" t="s">
        <v>936</v>
      </c>
      <c r="H1" s="1" t="s">
        <v>937</v>
      </c>
      <c r="I1" s="1" t="s">
        <v>5</v>
      </c>
      <c r="J1" s="1" t="s">
        <v>6</v>
      </c>
      <c r="K1" s="1" t="s">
        <v>938</v>
      </c>
      <c r="L1" s="1" t="s">
        <v>7</v>
      </c>
    </row>
    <row r="2" spans="1:13" x14ac:dyDescent="0.35">
      <c r="A2" s="2">
        <v>1072</v>
      </c>
      <c r="B2" s="2">
        <v>1</v>
      </c>
      <c r="C2" s="2" t="s">
        <v>8</v>
      </c>
      <c r="D2" s="2">
        <v>47</v>
      </c>
      <c r="E2" s="2" t="str" cm="1">
        <f t="array" ref="E2">_xlfn.IFS(D2&gt;=60,"Senior",D2&gt;=23,"Adult",D2&gt;=18,"Teenager")</f>
        <v>Adult</v>
      </c>
      <c r="F2" s="2" t="s">
        <v>9</v>
      </c>
      <c r="G2" s="3">
        <v>45795</v>
      </c>
      <c r="H2" s="3">
        <v>45544</v>
      </c>
      <c r="I2" s="2" t="s">
        <v>10</v>
      </c>
      <c r="J2" s="2" t="s">
        <v>11</v>
      </c>
      <c r="K2" s="6">
        <v>85.76</v>
      </c>
      <c r="L2" s="2" t="s">
        <v>12</v>
      </c>
      <c r="M2">
        <f>COUNTIF(L2:L466,"Yes")/COUNTA(L2:L466)</f>
        <v>0.53978494623655915</v>
      </c>
    </row>
    <row r="3" spans="1:13" x14ac:dyDescent="0.35">
      <c r="A3" s="2">
        <v>1074</v>
      </c>
      <c r="B3" s="2">
        <v>2</v>
      </c>
      <c r="C3" s="2" t="s">
        <v>13</v>
      </c>
      <c r="D3" s="2">
        <v>57</v>
      </c>
      <c r="E3" s="2" t="str" cm="1">
        <f t="array" ref="E3">_xlfn.IFS(D3&gt;=60,"Senior",D3&gt;=23,"Adult",D3&gt;=18,"Teenager")</f>
        <v>Adult</v>
      </c>
      <c r="F3" s="2" t="s">
        <v>14</v>
      </c>
      <c r="G3" s="3">
        <v>45770</v>
      </c>
      <c r="H3" s="3">
        <v>45744</v>
      </c>
      <c r="I3" s="2" t="s">
        <v>15</v>
      </c>
      <c r="J3" s="2" t="s">
        <v>16</v>
      </c>
      <c r="K3" s="2">
        <v>374.63</v>
      </c>
      <c r="L3" s="2" t="s">
        <v>12</v>
      </c>
      <c r="M3">
        <f t="shared" ref="M3:M66" si="0">COUNTIF(L3:L467,"Yes")/COUNTA(L3:L467)</f>
        <v>0.54094827586206895</v>
      </c>
    </row>
    <row r="4" spans="1:13" x14ac:dyDescent="0.35">
      <c r="A4" s="2">
        <v>1041</v>
      </c>
      <c r="B4" s="2">
        <v>3</v>
      </c>
      <c r="C4" s="2" t="s">
        <v>17</v>
      </c>
      <c r="D4" s="2">
        <v>54</v>
      </c>
      <c r="E4" s="2" t="str" cm="1">
        <f t="array" ref="E4">_xlfn.IFS(D4&gt;=60,"Senior",D4&gt;=23,"Adult",D4&gt;=18,"Teenager")</f>
        <v>Adult</v>
      </c>
      <c r="F4" s="2" t="s">
        <v>9</v>
      </c>
      <c r="G4" s="3">
        <v>45891</v>
      </c>
      <c r="H4" s="3">
        <v>45603</v>
      </c>
      <c r="I4" s="2" t="s">
        <v>18</v>
      </c>
      <c r="J4" s="2" t="s">
        <v>11</v>
      </c>
      <c r="K4" s="2">
        <v>43427.519999999997</v>
      </c>
      <c r="L4" s="2" t="s">
        <v>19</v>
      </c>
      <c r="M4">
        <f t="shared" si="0"/>
        <v>0.54211663066954641</v>
      </c>
    </row>
    <row r="5" spans="1:13" x14ac:dyDescent="0.35">
      <c r="A5" s="2">
        <v>1041</v>
      </c>
      <c r="B5" s="2">
        <v>4</v>
      </c>
      <c r="C5" s="2" t="s">
        <v>20</v>
      </c>
      <c r="D5" s="2">
        <v>68</v>
      </c>
      <c r="E5" s="2" t="str" cm="1">
        <f t="array" ref="E5">_xlfn.IFS(D5&gt;=60,"Senior",D5&gt;=23,"Adult",D5&gt;=18,"Teenager")</f>
        <v>Senior</v>
      </c>
      <c r="F5" s="2" t="s">
        <v>9</v>
      </c>
      <c r="G5" s="3">
        <v>46088</v>
      </c>
      <c r="H5" s="3">
        <v>45406</v>
      </c>
      <c r="I5" s="2" t="s">
        <v>21</v>
      </c>
      <c r="J5" s="2" t="s">
        <v>11</v>
      </c>
      <c r="K5" s="2">
        <v>7956.48</v>
      </c>
      <c r="L5" s="2" t="s">
        <v>19</v>
      </c>
      <c r="M5">
        <f t="shared" si="0"/>
        <v>0.54112554112554112</v>
      </c>
    </row>
    <row r="6" spans="1:13" x14ac:dyDescent="0.35">
      <c r="A6" s="2">
        <v>1057</v>
      </c>
      <c r="B6" s="2">
        <v>5</v>
      </c>
      <c r="C6" s="2" t="s">
        <v>22</v>
      </c>
      <c r="D6" s="2">
        <v>61</v>
      </c>
      <c r="E6" s="2" t="str" cm="1">
        <f t="array" ref="E6">_xlfn.IFS(D6&gt;=60,"Senior",D6&gt;=23,"Adult",D6&gt;=18,"Teenager")</f>
        <v>Senior</v>
      </c>
      <c r="F6" s="2" t="s">
        <v>14</v>
      </c>
      <c r="G6" s="3">
        <v>45869</v>
      </c>
      <c r="H6" s="3">
        <v>45417</v>
      </c>
      <c r="I6" s="2" t="s">
        <v>23</v>
      </c>
      <c r="J6" s="2" t="s">
        <v>16</v>
      </c>
      <c r="K6" s="2">
        <v>277.14</v>
      </c>
      <c r="L6" s="2" t="s">
        <v>12</v>
      </c>
      <c r="M6">
        <f t="shared" si="0"/>
        <v>0.54013015184381774</v>
      </c>
    </row>
    <row r="7" spans="1:13" x14ac:dyDescent="0.35">
      <c r="A7" s="2">
        <v>1059</v>
      </c>
      <c r="B7" s="2">
        <v>6</v>
      </c>
      <c r="C7" s="2" t="s">
        <v>24</v>
      </c>
      <c r="D7" s="2">
        <v>66</v>
      </c>
      <c r="E7" s="2" t="str" cm="1">
        <f t="array" ref="E7">_xlfn.IFS(D7&gt;=60,"Senior",D7&gt;=23,"Adult",D7&gt;=18,"Teenager")</f>
        <v>Senior</v>
      </c>
      <c r="F7" s="2" t="s">
        <v>9</v>
      </c>
      <c r="G7" s="3">
        <v>45972</v>
      </c>
      <c r="H7" s="3">
        <v>45627</v>
      </c>
      <c r="I7" s="2" t="s">
        <v>25</v>
      </c>
      <c r="J7" s="2" t="s">
        <v>26</v>
      </c>
      <c r="K7" s="2">
        <v>14694.72</v>
      </c>
      <c r="L7" s="2" t="s">
        <v>19</v>
      </c>
      <c r="M7">
        <f t="shared" si="0"/>
        <v>0.54130434782608694</v>
      </c>
    </row>
    <row r="8" spans="1:13" x14ac:dyDescent="0.35">
      <c r="A8" s="2">
        <v>1086</v>
      </c>
      <c r="B8" s="2">
        <v>7</v>
      </c>
      <c r="C8" s="2" t="s">
        <v>27</v>
      </c>
      <c r="D8" s="2">
        <v>81</v>
      </c>
      <c r="E8" s="2" t="str" cm="1">
        <f t="array" ref="E8">_xlfn.IFS(D8&gt;=60,"Senior",D8&gt;=23,"Adult",D8&gt;=18,"Teenager")</f>
        <v>Senior</v>
      </c>
      <c r="F8" s="2" t="s">
        <v>14</v>
      </c>
      <c r="G8" s="3">
        <v>45934</v>
      </c>
      <c r="H8" s="3">
        <v>45642</v>
      </c>
      <c r="I8" s="2" t="s">
        <v>28</v>
      </c>
      <c r="J8" s="2" t="s">
        <v>11</v>
      </c>
      <c r="K8" s="2">
        <v>329.3</v>
      </c>
      <c r="L8" s="2" t="s">
        <v>19</v>
      </c>
      <c r="M8">
        <f t="shared" si="0"/>
        <v>0.54030501089324623</v>
      </c>
    </row>
    <row r="9" spans="1:13" x14ac:dyDescent="0.35">
      <c r="A9" s="2">
        <v>1069</v>
      </c>
      <c r="B9" s="2">
        <v>8</v>
      </c>
      <c r="C9" s="2" t="s">
        <v>29</v>
      </c>
      <c r="D9" s="2">
        <v>90</v>
      </c>
      <c r="E9" s="2" t="str" cm="1">
        <f t="array" ref="E9">_xlfn.IFS(D9&gt;=60,"Senior",D9&gt;=23,"Adult",D9&gt;=18,"Teenager")</f>
        <v>Senior</v>
      </c>
      <c r="F9" s="2" t="s">
        <v>14</v>
      </c>
      <c r="G9" s="3">
        <v>45944</v>
      </c>
      <c r="H9" s="3">
        <v>45440</v>
      </c>
      <c r="I9" s="2" t="s">
        <v>30</v>
      </c>
      <c r="J9" s="2" t="s">
        <v>16</v>
      </c>
      <c r="K9" s="2">
        <v>72.73</v>
      </c>
      <c r="L9" s="2" t="s">
        <v>12</v>
      </c>
      <c r="M9">
        <f t="shared" si="0"/>
        <v>0.5393013100436681</v>
      </c>
    </row>
    <row r="10" spans="1:13" x14ac:dyDescent="0.35">
      <c r="A10" s="2">
        <v>1097</v>
      </c>
      <c r="B10" s="2">
        <v>9</v>
      </c>
      <c r="C10" s="2" t="s">
        <v>31</v>
      </c>
      <c r="D10" s="2">
        <v>56</v>
      </c>
      <c r="E10" s="2" t="str" cm="1">
        <f t="array" ref="E10">_xlfn.IFS(D10&gt;=60,"Senior",D10&gt;=23,"Adult",D10&gt;=18,"Teenager")</f>
        <v>Adult</v>
      </c>
      <c r="F10" s="2" t="s">
        <v>14</v>
      </c>
      <c r="G10" s="3">
        <v>45792</v>
      </c>
      <c r="H10" s="3">
        <v>45417</v>
      </c>
      <c r="I10" s="2" t="s">
        <v>32</v>
      </c>
      <c r="J10" s="2" t="s">
        <v>33</v>
      </c>
      <c r="K10" s="2">
        <v>258.64</v>
      </c>
      <c r="L10" s="2" t="s">
        <v>19</v>
      </c>
      <c r="M10">
        <f t="shared" si="0"/>
        <v>0.54048140043763682</v>
      </c>
    </row>
    <row r="11" spans="1:13" x14ac:dyDescent="0.35">
      <c r="A11" s="2">
        <v>1064</v>
      </c>
      <c r="B11" s="2">
        <v>10</v>
      </c>
      <c r="C11" s="2" t="s">
        <v>34</v>
      </c>
      <c r="D11" s="2">
        <v>88</v>
      </c>
      <c r="E11" s="2" t="str" cm="1">
        <f t="array" ref="E11">_xlfn.IFS(D11&gt;=60,"Senior",D11&gt;=23,"Adult",D11&gt;=18,"Teenager")</f>
        <v>Senior</v>
      </c>
      <c r="F11" s="2" t="s">
        <v>9</v>
      </c>
      <c r="G11" s="3">
        <v>46052</v>
      </c>
      <c r="H11" s="3">
        <v>45634</v>
      </c>
      <c r="I11" s="2" t="s">
        <v>35</v>
      </c>
      <c r="J11" s="2" t="s">
        <v>11</v>
      </c>
      <c r="K11" s="2">
        <v>19546.560000000001</v>
      </c>
      <c r="L11" s="2" t="s">
        <v>12</v>
      </c>
      <c r="M11">
        <f t="shared" si="0"/>
        <v>0.53947368421052633</v>
      </c>
    </row>
    <row r="12" spans="1:13" x14ac:dyDescent="0.35">
      <c r="A12" s="2">
        <v>1089</v>
      </c>
      <c r="B12" s="2">
        <v>11</v>
      </c>
      <c r="C12" s="2" t="s">
        <v>36</v>
      </c>
      <c r="D12" s="2">
        <v>32</v>
      </c>
      <c r="E12" s="2" t="str" cm="1">
        <f t="array" ref="E12">_xlfn.IFS(D12&gt;=60,"Senior",D12&gt;=23,"Adult",D12&gt;=18,"Teenager")</f>
        <v>Adult</v>
      </c>
      <c r="F12" s="2" t="s">
        <v>9</v>
      </c>
      <c r="G12" s="3">
        <v>45788</v>
      </c>
      <c r="H12" s="3">
        <v>45479</v>
      </c>
      <c r="I12" s="2" t="s">
        <v>37</v>
      </c>
      <c r="J12" s="2" t="s">
        <v>16</v>
      </c>
      <c r="K12" s="2">
        <v>236.22</v>
      </c>
      <c r="L12" s="2" t="s">
        <v>12</v>
      </c>
      <c r="M12">
        <f t="shared" si="0"/>
        <v>0.54065934065934063</v>
      </c>
    </row>
    <row r="13" spans="1:13" x14ac:dyDescent="0.35">
      <c r="A13" s="2">
        <v>1086</v>
      </c>
      <c r="B13" s="2">
        <v>12</v>
      </c>
      <c r="C13" s="2" t="s">
        <v>38</v>
      </c>
      <c r="D13" s="2">
        <v>34</v>
      </c>
      <c r="E13" s="2" t="str" cm="1">
        <f t="array" ref="E13">_xlfn.IFS(D13&gt;=60,"Senior",D13&gt;=23,"Adult",D13&gt;=18,"Teenager")</f>
        <v>Adult</v>
      </c>
      <c r="F13" s="2" t="s">
        <v>9</v>
      </c>
      <c r="G13" s="3">
        <v>45869</v>
      </c>
      <c r="H13" s="3">
        <v>45391</v>
      </c>
      <c r="I13" s="2" t="s">
        <v>39</v>
      </c>
      <c r="J13" s="2" t="s">
        <v>26</v>
      </c>
      <c r="K13" s="2">
        <v>292.23</v>
      </c>
      <c r="L13" s="2" t="s">
        <v>19</v>
      </c>
      <c r="M13">
        <f t="shared" si="0"/>
        <v>0.54185022026431717</v>
      </c>
    </row>
    <row r="14" spans="1:13" x14ac:dyDescent="0.35">
      <c r="A14" s="2">
        <v>1073</v>
      </c>
      <c r="B14" s="2">
        <v>13</v>
      </c>
      <c r="C14" s="2" t="s">
        <v>40</v>
      </c>
      <c r="D14" s="2">
        <v>88</v>
      </c>
      <c r="E14" s="2" t="str" cm="1">
        <f t="array" ref="E14">_xlfn.IFS(D14&gt;=60,"Senior",D14&gt;=23,"Adult",D14&gt;=18,"Teenager")</f>
        <v>Senior</v>
      </c>
      <c r="F14" s="2" t="s">
        <v>9</v>
      </c>
      <c r="G14" s="3">
        <v>45835</v>
      </c>
      <c r="H14" s="3">
        <v>45813</v>
      </c>
      <c r="I14" s="2" t="s">
        <v>41</v>
      </c>
      <c r="J14" s="2" t="s">
        <v>11</v>
      </c>
      <c r="K14" s="2">
        <v>4965.12</v>
      </c>
      <c r="L14" s="2" t="s">
        <v>19</v>
      </c>
      <c r="M14">
        <f t="shared" si="0"/>
        <v>0.54083885209713023</v>
      </c>
    </row>
    <row r="15" spans="1:13" x14ac:dyDescent="0.35">
      <c r="A15" s="2">
        <v>1084</v>
      </c>
      <c r="B15" s="2">
        <v>14</v>
      </c>
      <c r="C15" s="2" t="s">
        <v>42</v>
      </c>
      <c r="D15" s="2">
        <v>86</v>
      </c>
      <c r="E15" s="2" t="str" cm="1">
        <f t="array" ref="E15">_xlfn.IFS(D15&gt;=60,"Senior",D15&gt;=23,"Adult",D15&gt;=18,"Teenager")</f>
        <v>Senior</v>
      </c>
      <c r="F15" s="2" t="s">
        <v>14</v>
      </c>
      <c r="G15" s="3">
        <v>46237</v>
      </c>
      <c r="H15" s="3">
        <v>45482</v>
      </c>
      <c r="I15" s="2" t="s">
        <v>43</v>
      </c>
      <c r="J15" s="2" t="s">
        <v>16</v>
      </c>
      <c r="K15" s="2">
        <v>160.38</v>
      </c>
      <c r="L15" s="2" t="s">
        <v>19</v>
      </c>
      <c r="M15">
        <f t="shared" si="0"/>
        <v>0.53982300884955747</v>
      </c>
    </row>
    <row r="16" spans="1:13" x14ac:dyDescent="0.35">
      <c r="A16" s="2">
        <v>1002</v>
      </c>
      <c r="B16" s="2">
        <v>15</v>
      </c>
      <c r="C16" s="2" t="s">
        <v>44</v>
      </c>
      <c r="D16" s="2">
        <v>42</v>
      </c>
      <c r="E16" s="2" t="str" cm="1">
        <f t="array" ref="E16">_xlfn.IFS(D16&gt;=60,"Senior",D16&gt;=23,"Adult",D16&gt;=18,"Teenager")</f>
        <v>Adult</v>
      </c>
      <c r="F16" s="2" t="s">
        <v>14</v>
      </c>
      <c r="G16" s="3">
        <v>45944</v>
      </c>
      <c r="H16" s="3">
        <v>45600</v>
      </c>
      <c r="I16" s="2" t="s">
        <v>45</v>
      </c>
      <c r="J16" s="2" t="s">
        <v>16</v>
      </c>
      <c r="K16" s="2">
        <v>342.38</v>
      </c>
      <c r="L16" s="2" t="s">
        <v>12</v>
      </c>
      <c r="M16">
        <f t="shared" si="0"/>
        <v>0.53880266075388028</v>
      </c>
    </row>
    <row r="17" spans="1:13" x14ac:dyDescent="0.35">
      <c r="A17" s="2">
        <v>1030</v>
      </c>
      <c r="B17" s="2">
        <v>16</v>
      </c>
      <c r="C17" s="2" t="s">
        <v>46</v>
      </c>
      <c r="D17" s="2">
        <v>18</v>
      </c>
      <c r="E17" s="2" t="str" cm="1">
        <f t="array" ref="E17">_xlfn.IFS(D17&gt;=60,"Senior",D17&gt;=23,"Adult",D17&gt;=18,"Teenager")</f>
        <v>Teenager</v>
      </c>
      <c r="F17" s="2" t="s">
        <v>14</v>
      </c>
      <c r="G17" s="3">
        <v>45970</v>
      </c>
      <c r="H17" s="3">
        <v>45570</v>
      </c>
      <c r="I17" s="2" t="s">
        <v>47</v>
      </c>
      <c r="J17" s="2" t="s">
        <v>33</v>
      </c>
      <c r="K17" s="2">
        <v>208.91</v>
      </c>
      <c r="L17" s="2" t="s">
        <v>12</v>
      </c>
      <c r="M17">
        <f t="shared" si="0"/>
        <v>0.54</v>
      </c>
    </row>
    <row r="18" spans="1:13" x14ac:dyDescent="0.35">
      <c r="A18" s="2">
        <v>1043</v>
      </c>
      <c r="B18" s="2">
        <v>17</v>
      </c>
      <c r="C18" s="2" t="s">
        <v>48</v>
      </c>
      <c r="D18" s="2">
        <v>82</v>
      </c>
      <c r="E18" s="2" t="str" cm="1">
        <f t="array" ref="E18">_xlfn.IFS(D18&gt;=60,"Senior",D18&gt;=23,"Adult",D18&gt;=18,"Teenager")</f>
        <v>Senior</v>
      </c>
      <c r="F18" s="2" t="s">
        <v>9</v>
      </c>
      <c r="G18" s="3">
        <v>46006</v>
      </c>
      <c r="H18" s="3">
        <v>45859</v>
      </c>
      <c r="I18" s="2" t="s">
        <v>49</v>
      </c>
      <c r="J18" s="2" t="s">
        <v>11</v>
      </c>
      <c r="K18" s="2">
        <v>426.86</v>
      </c>
      <c r="L18" s="2" t="s">
        <v>12</v>
      </c>
      <c r="M18">
        <f t="shared" si="0"/>
        <v>0.54120267260579069</v>
      </c>
    </row>
    <row r="19" spans="1:13" x14ac:dyDescent="0.35">
      <c r="A19" s="2">
        <v>1051</v>
      </c>
      <c r="B19" s="2">
        <v>18</v>
      </c>
      <c r="C19" s="2" t="s">
        <v>50</v>
      </c>
      <c r="D19" s="2">
        <v>26</v>
      </c>
      <c r="E19" s="2" t="str" cm="1">
        <f t="array" ref="E19">_xlfn.IFS(D19&gt;=60,"Senior",D19&gt;=23,"Adult",D19&gt;=18,"Teenager")</f>
        <v>Adult</v>
      </c>
      <c r="F19" s="2" t="s">
        <v>14</v>
      </c>
      <c r="G19" s="3">
        <v>45815</v>
      </c>
      <c r="H19" s="3">
        <v>45635</v>
      </c>
      <c r="I19" s="2" t="s">
        <v>51</v>
      </c>
      <c r="J19" s="2" t="s">
        <v>33</v>
      </c>
      <c r="K19" s="2">
        <v>32664</v>
      </c>
      <c r="L19" s="2" t="s">
        <v>19</v>
      </c>
      <c r="M19">
        <f t="shared" si="0"/>
        <v>0.5424107142857143</v>
      </c>
    </row>
    <row r="20" spans="1:13" x14ac:dyDescent="0.35">
      <c r="A20" s="2">
        <v>1053</v>
      </c>
      <c r="B20" s="2">
        <v>19</v>
      </c>
      <c r="C20" s="2" t="s">
        <v>52</v>
      </c>
      <c r="D20" s="2">
        <v>37</v>
      </c>
      <c r="E20" s="2" t="str" cm="1">
        <f t="array" ref="E20">_xlfn.IFS(D20&gt;=60,"Senior",D20&gt;=23,"Adult",D20&gt;=18,"Teenager")</f>
        <v>Adult</v>
      </c>
      <c r="F20" s="2" t="s">
        <v>14</v>
      </c>
      <c r="G20" s="3">
        <v>45915</v>
      </c>
      <c r="H20" s="3">
        <v>45421</v>
      </c>
      <c r="I20" s="2" t="s">
        <v>53</v>
      </c>
      <c r="J20" s="2" t="s">
        <v>33</v>
      </c>
      <c r="K20" s="2">
        <v>42505.919999999998</v>
      </c>
      <c r="L20" s="2" t="s">
        <v>12</v>
      </c>
      <c r="M20">
        <f t="shared" si="0"/>
        <v>0.54138702460850108</v>
      </c>
    </row>
    <row r="21" spans="1:13" x14ac:dyDescent="0.35">
      <c r="A21" s="2">
        <v>1052</v>
      </c>
      <c r="B21" s="2">
        <v>20</v>
      </c>
      <c r="C21" s="2" t="s">
        <v>54</v>
      </c>
      <c r="D21" s="2">
        <v>84</v>
      </c>
      <c r="E21" s="2" t="str" cm="1">
        <f t="array" ref="E21">_xlfn.IFS(D21&gt;=60,"Senior",D21&gt;=23,"Adult",D21&gt;=18,"Teenager")</f>
        <v>Senior</v>
      </c>
      <c r="F21" s="2" t="s">
        <v>9</v>
      </c>
      <c r="G21" s="3">
        <v>45908</v>
      </c>
      <c r="H21" s="3">
        <v>45793</v>
      </c>
      <c r="I21" s="2" t="s">
        <v>55</v>
      </c>
      <c r="J21" s="2" t="s">
        <v>33</v>
      </c>
      <c r="K21" s="2">
        <v>175.63</v>
      </c>
      <c r="L21" s="2" t="s">
        <v>12</v>
      </c>
      <c r="M21">
        <f t="shared" si="0"/>
        <v>0.54260089686098656</v>
      </c>
    </row>
    <row r="22" spans="1:13" x14ac:dyDescent="0.35">
      <c r="A22" s="2">
        <v>1001</v>
      </c>
      <c r="B22" s="2">
        <v>21</v>
      </c>
      <c r="C22" s="2" t="s">
        <v>56</v>
      </c>
      <c r="D22" s="2">
        <v>50</v>
      </c>
      <c r="E22" s="2" t="str" cm="1">
        <f t="array" ref="E22">_xlfn.IFS(D22&gt;=60,"Senior",D22&gt;=23,"Adult",D22&gt;=18,"Teenager")</f>
        <v>Adult</v>
      </c>
      <c r="F22" s="2" t="s">
        <v>14</v>
      </c>
      <c r="G22" s="3">
        <v>45886</v>
      </c>
      <c r="H22" s="3">
        <v>45558</v>
      </c>
      <c r="I22" s="2" t="s">
        <v>57</v>
      </c>
      <c r="J22" s="2" t="s">
        <v>33</v>
      </c>
      <c r="K22" s="2">
        <v>25741.439999999999</v>
      </c>
      <c r="L22" s="2" t="s">
        <v>19</v>
      </c>
      <c r="M22">
        <f t="shared" si="0"/>
        <v>0.54382022471910108</v>
      </c>
    </row>
    <row r="23" spans="1:13" x14ac:dyDescent="0.35">
      <c r="A23" s="2">
        <v>1055</v>
      </c>
      <c r="B23" s="2">
        <v>22</v>
      </c>
      <c r="C23" s="2" t="s">
        <v>58</v>
      </c>
      <c r="D23" s="2">
        <v>35</v>
      </c>
      <c r="E23" s="2" t="str" cm="1">
        <f t="array" ref="E23">_xlfn.IFS(D23&gt;=60,"Senior",D23&gt;=23,"Adult",D23&gt;=18,"Teenager")</f>
        <v>Adult</v>
      </c>
      <c r="F23" s="2" t="s">
        <v>14</v>
      </c>
      <c r="G23" s="3">
        <v>45801</v>
      </c>
      <c r="H23" s="3">
        <v>45491</v>
      </c>
      <c r="I23" s="2" t="s">
        <v>59</v>
      </c>
      <c r="J23" s="2" t="s">
        <v>33</v>
      </c>
      <c r="K23" s="2">
        <v>452.11</v>
      </c>
      <c r="L23" s="2" t="s">
        <v>19</v>
      </c>
      <c r="M23">
        <f t="shared" si="0"/>
        <v>0.5427927927927928</v>
      </c>
    </row>
    <row r="24" spans="1:13" x14ac:dyDescent="0.35">
      <c r="A24" s="2">
        <v>1095</v>
      </c>
      <c r="B24" s="2">
        <v>23</v>
      </c>
      <c r="C24" s="2" t="s">
        <v>60</v>
      </c>
      <c r="D24" s="2">
        <v>29</v>
      </c>
      <c r="E24" s="2" t="str" cm="1">
        <f t="array" ref="E24">_xlfn.IFS(D24&gt;=60,"Senior",D24&gt;=23,"Adult",D24&gt;=18,"Teenager")</f>
        <v>Adult</v>
      </c>
      <c r="F24" s="2" t="s">
        <v>9</v>
      </c>
      <c r="G24" s="3">
        <v>45891</v>
      </c>
      <c r="H24" s="3">
        <v>45772</v>
      </c>
      <c r="I24" s="2" t="s">
        <v>61</v>
      </c>
      <c r="J24" s="2" t="s">
        <v>16</v>
      </c>
      <c r="K24" s="2">
        <v>120.34</v>
      </c>
      <c r="L24" s="2" t="s">
        <v>19</v>
      </c>
      <c r="M24">
        <f t="shared" si="0"/>
        <v>0.54176072234762984</v>
      </c>
    </row>
    <row r="25" spans="1:13" x14ac:dyDescent="0.35">
      <c r="A25" s="2">
        <v>1005</v>
      </c>
      <c r="B25" s="2">
        <v>24</v>
      </c>
      <c r="C25" s="2" t="s">
        <v>62</v>
      </c>
      <c r="D25" s="2">
        <v>49</v>
      </c>
      <c r="E25" s="2" t="str" cm="1">
        <f t="array" ref="E25">_xlfn.IFS(D25&gt;=60,"Senior",D25&gt;=23,"Adult",D25&gt;=18,"Teenager")</f>
        <v>Adult</v>
      </c>
      <c r="F25" s="2" t="s">
        <v>14</v>
      </c>
      <c r="G25" s="3">
        <v>45997</v>
      </c>
      <c r="H25" s="3">
        <v>45515</v>
      </c>
      <c r="I25" s="2" t="s">
        <v>63</v>
      </c>
      <c r="J25" s="2" t="s">
        <v>26</v>
      </c>
      <c r="K25" s="2">
        <v>135.43</v>
      </c>
      <c r="L25" s="2" t="s">
        <v>12</v>
      </c>
      <c r="M25">
        <f t="shared" si="0"/>
        <v>0.54072398190045246</v>
      </c>
    </row>
    <row r="26" spans="1:13" x14ac:dyDescent="0.35">
      <c r="A26" s="2">
        <v>1024</v>
      </c>
      <c r="B26" s="2">
        <v>25</v>
      </c>
      <c r="C26" s="2" t="s">
        <v>64</v>
      </c>
      <c r="D26" s="2">
        <v>34</v>
      </c>
      <c r="E26" s="2" t="str" cm="1">
        <f t="array" ref="E26">_xlfn.IFS(D26&gt;=60,"Senior",D26&gt;=23,"Adult",D26&gt;=18,"Teenager")</f>
        <v>Adult</v>
      </c>
      <c r="F26" s="2" t="s">
        <v>9</v>
      </c>
      <c r="G26" s="3">
        <v>45931</v>
      </c>
      <c r="H26" s="3">
        <v>45578</v>
      </c>
      <c r="I26" s="2" t="s">
        <v>65</v>
      </c>
      <c r="J26" s="2" t="s">
        <v>33</v>
      </c>
      <c r="K26" s="2">
        <v>376.08</v>
      </c>
      <c r="L26" s="2" t="s">
        <v>12</v>
      </c>
      <c r="M26">
        <f t="shared" si="0"/>
        <v>0.54195011337868482</v>
      </c>
    </row>
    <row r="27" spans="1:13" x14ac:dyDescent="0.35">
      <c r="A27" s="2">
        <v>1040</v>
      </c>
      <c r="B27" s="2">
        <v>26</v>
      </c>
      <c r="C27" s="2" t="s">
        <v>66</v>
      </c>
      <c r="D27" s="2">
        <v>26</v>
      </c>
      <c r="E27" s="2" t="str" cm="1">
        <f t="array" ref="E27">_xlfn.IFS(D27&gt;=60,"Senior",D27&gt;=23,"Adult",D27&gt;=18,"Teenager")</f>
        <v>Adult</v>
      </c>
      <c r="F27" s="2" t="s">
        <v>14</v>
      </c>
      <c r="G27" s="3">
        <v>45883</v>
      </c>
      <c r="H27" s="3">
        <v>45446</v>
      </c>
      <c r="I27" s="2" t="s">
        <v>67</v>
      </c>
      <c r="J27" s="2" t="s">
        <v>26</v>
      </c>
      <c r="K27" s="2">
        <v>185.66</v>
      </c>
      <c r="L27" s="2" t="s">
        <v>19</v>
      </c>
      <c r="M27">
        <f t="shared" si="0"/>
        <v>0.54318181818181821</v>
      </c>
    </row>
    <row r="28" spans="1:13" x14ac:dyDescent="0.35">
      <c r="A28" s="2">
        <v>1015</v>
      </c>
      <c r="B28" s="2">
        <v>27</v>
      </c>
      <c r="C28" s="2" t="s">
        <v>68</v>
      </c>
      <c r="D28" s="2">
        <v>66</v>
      </c>
      <c r="E28" s="2" t="str" cm="1">
        <f t="array" ref="E28">_xlfn.IFS(D28&gt;=60,"Senior",D28&gt;=23,"Adult",D28&gt;=18,"Teenager")</f>
        <v>Senior</v>
      </c>
      <c r="F28" s="2" t="s">
        <v>14</v>
      </c>
      <c r="G28" s="3">
        <v>46050</v>
      </c>
      <c r="H28" s="3">
        <v>45783</v>
      </c>
      <c r="I28" s="2" t="s">
        <v>69</v>
      </c>
      <c r="J28" s="2" t="s">
        <v>16</v>
      </c>
      <c r="K28" s="2">
        <v>35237.760000000002</v>
      </c>
      <c r="L28" s="2" t="s">
        <v>12</v>
      </c>
      <c r="M28">
        <f t="shared" si="0"/>
        <v>0.54214123006833714</v>
      </c>
    </row>
    <row r="29" spans="1:13" x14ac:dyDescent="0.35">
      <c r="A29" s="2">
        <v>1053</v>
      </c>
      <c r="B29" s="2">
        <v>28</v>
      </c>
      <c r="C29" s="2" t="s">
        <v>70</v>
      </c>
      <c r="D29" s="2">
        <v>49</v>
      </c>
      <c r="E29" s="2" t="str" cm="1">
        <f t="array" ref="E29">_xlfn.IFS(D29&gt;=60,"Senior",D29&gt;=23,"Adult",D29&gt;=18,"Teenager")</f>
        <v>Adult</v>
      </c>
      <c r="F29" s="2" t="s">
        <v>14</v>
      </c>
      <c r="G29" s="3">
        <v>45875</v>
      </c>
      <c r="H29" s="3">
        <v>45739</v>
      </c>
      <c r="I29" s="2" t="s">
        <v>71</v>
      </c>
      <c r="J29" s="2" t="s">
        <v>16</v>
      </c>
      <c r="K29" s="2">
        <v>393.4</v>
      </c>
      <c r="L29" s="2" t="s">
        <v>19</v>
      </c>
      <c r="M29">
        <f t="shared" si="0"/>
        <v>0.54337899543378998</v>
      </c>
    </row>
    <row r="30" spans="1:13" x14ac:dyDescent="0.35">
      <c r="A30" s="2">
        <v>1068</v>
      </c>
      <c r="B30" s="2">
        <v>29</v>
      </c>
      <c r="C30" s="2" t="s">
        <v>72</v>
      </c>
      <c r="D30" s="2">
        <v>63</v>
      </c>
      <c r="E30" s="2" t="str" cm="1">
        <f t="array" ref="E30">_xlfn.IFS(D30&gt;=60,"Senior",D30&gt;=23,"Adult",D30&gt;=18,"Teenager")</f>
        <v>Senior</v>
      </c>
      <c r="F30" s="2" t="s">
        <v>9</v>
      </c>
      <c r="G30" s="3">
        <v>45970</v>
      </c>
      <c r="H30" s="3">
        <v>45910</v>
      </c>
      <c r="I30" s="2" t="s">
        <v>73</v>
      </c>
      <c r="J30" s="2" t="s">
        <v>33</v>
      </c>
      <c r="K30" s="2">
        <v>16248</v>
      </c>
      <c r="L30" s="2" t="s">
        <v>19</v>
      </c>
      <c r="M30">
        <f t="shared" si="0"/>
        <v>0.54233409610983985</v>
      </c>
    </row>
    <row r="31" spans="1:13" x14ac:dyDescent="0.35">
      <c r="A31" s="2">
        <v>1006</v>
      </c>
      <c r="B31" s="2">
        <v>30</v>
      </c>
      <c r="C31" s="2" t="s">
        <v>74</v>
      </c>
      <c r="D31" s="2">
        <v>48</v>
      </c>
      <c r="E31" s="2" t="str" cm="1">
        <f t="array" ref="E31">_xlfn.IFS(D31&gt;=60,"Senior",D31&gt;=23,"Adult",D31&gt;=18,"Teenager")</f>
        <v>Adult</v>
      </c>
      <c r="F31" s="2" t="s">
        <v>9</v>
      </c>
      <c r="G31" s="3">
        <v>45847</v>
      </c>
      <c r="H31" s="3">
        <v>45720</v>
      </c>
      <c r="I31" s="2" t="s">
        <v>75</v>
      </c>
      <c r="J31" s="2" t="s">
        <v>16</v>
      </c>
      <c r="K31" s="2">
        <v>26381.759999999998</v>
      </c>
      <c r="L31" s="2" t="s">
        <v>19</v>
      </c>
      <c r="M31">
        <f t="shared" si="0"/>
        <v>0.54128440366972475</v>
      </c>
    </row>
    <row r="32" spans="1:13" x14ac:dyDescent="0.35">
      <c r="A32" s="2">
        <v>1047</v>
      </c>
      <c r="B32" s="2">
        <v>31</v>
      </c>
      <c r="C32" s="2" t="s">
        <v>76</v>
      </c>
      <c r="D32" s="2">
        <v>87</v>
      </c>
      <c r="E32" s="2" t="str" cm="1">
        <f t="array" ref="E32">_xlfn.IFS(D32&gt;=60,"Senior",D32&gt;=23,"Adult",D32&gt;=18,"Teenager")</f>
        <v>Senior</v>
      </c>
      <c r="F32" s="2" t="s">
        <v>14</v>
      </c>
      <c r="G32" s="3">
        <v>45874</v>
      </c>
      <c r="H32" s="3">
        <v>45691</v>
      </c>
      <c r="I32" s="2" t="s">
        <v>77</v>
      </c>
      <c r="J32" s="2" t="s">
        <v>33</v>
      </c>
      <c r="K32" s="2">
        <v>68.81</v>
      </c>
      <c r="L32" s="2" t="s">
        <v>19</v>
      </c>
      <c r="M32">
        <f t="shared" si="0"/>
        <v>0.54022988505747127</v>
      </c>
    </row>
    <row r="33" spans="1:13" x14ac:dyDescent="0.35">
      <c r="A33" s="2">
        <v>1095</v>
      </c>
      <c r="B33" s="2">
        <v>32</v>
      </c>
      <c r="C33" s="2" t="s">
        <v>78</v>
      </c>
      <c r="D33" s="2">
        <v>58</v>
      </c>
      <c r="E33" s="2" t="str" cm="1">
        <f t="array" ref="E33">_xlfn.IFS(D33&gt;=60,"Senior",D33&gt;=23,"Adult",D33&gt;=18,"Teenager")</f>
        <v>Adult</v>
      </c>
      <c r="F33" s="2" t="s">
        <v>9</v>
      </c>
      <c r="G33" s="3">
        <v>45753</v>
      </c>
      <c r="H33" s="3">
        <v>45683</v>
      </c>
      <c r="I33" s="2" t="s">
        <v>79</v>
      </c>
      <c r="J33" s="2" t="s">
        <v>16</v>
      </c>
      <c r="K33" s="2">
        <v>365.13</v>
      </c>
      <c r="L33" s="2" t="s">
        <v>12</v>
      </c>
      <c r="M33">
        <f t="shared" si="0"/>
        <v>0.53917050691244239</v>
      </c>
    </row>
    <row r="34" spans="1:13" x14ac:dyDescent="0.35">
      <c r="A34" s="2">
        <v>1009</v>
      </c>
      <c r="B34" s="2">
        <v>33</v>
      </c>
      <c r="C34" s="2" t="s">
        <v>80</v>
      </c>
      <c r="D34" s="2">
        <v>63</v>
      </c>
      <c r="E34" s="2" t="str" cm="1">
        <f t="array" ref="E34">_xlfn.IFS(D34&gt;=60,"Senior",D34&gt;=23,"Adult",D34&gt;=18,"Teenager")</f>
        <v>Senior</v>
      </c>
      <c r="F34" s="2" t="s">
        <v>14</v>
      </c>
      <c r="G34" s="3">
        <v>45877</v>
      </c>
      <c r="H34" s="3">
        <v>45801</v>
      </c>
      <c r="I34" s="2" t="s">
        <v>81</v>
      </c>
      <c r="J34" s="2" t="s">
        <v>11</v>
      </c>
      <c r="K34" s="2">
        <v>44829.120000000003</v>
      </c>
      <c r="L34" s="2" t="s">
        <v>19</v>
      </c>
      <c r="M34">
        <f t="shared" si="0"/>
        <v>0.5404157043879908</v>
      </c>
    </row>
    <row r="35" spans="1:13" x14ac:dyDescent="0.35">
      <c r="A35" s="2">
        <v>1078</v>
      </c>
      <c r="B35" s="2">
        <v>34</v>
      </c>
      <c r="C35" s="2" t="s">
        <v>82</v>
      </c>
      <c r="D35" s="2">
        <v>54</v>
      </c>
      <c r="E35" s="2" t="str" cm="1">
        <f t="array" ref="E35">_xlfn.IFS(D35&gt;=60,"Senior",D35&gt;=23,"Adult",D35&gt;=18,"Teenager")</f>
        <v>Adult</v>
      </c>
      <c r="F35" s="2" t="s">
        <v>9</v>
      </c>
      <c r="G35" s="3">
        <v>46000</v>
      </c>
      <c r="H35" s="3">
        <v>45850</v>
      </c>
      <c r="I35" s="2" t="s">
        <v>83</v>
      </c>
      <c r="J35" s="2" t="s">
        <v>11</v>
      </c>
      <c r="K35" s="2">
        <v>484.52</v>
      </c>
      <c r="L35" s="2" t="s">
        <v>12</v>
      </c>
      <c r="M35">
        <f t="shared" si="0"/>
        <v>0.53935185185185186</v>
      </c>
    </row>
    <row r="36" spans="1:13" x14ac:dyDescent="0.35">
      <c r="A36" s="2">
        <v>1018</v>
      </c>
      <c r="B36" s="2">
        <v>35</v>
      </c>
      <c r="C36" s="2" t="s">
        <v>84</v>
      </c>
      <c r="D36" s="2">
        <v>78</v>
      </c>
      <c r="E36" s="2" t="str" cm="1">
        <f t="array" ref="E36">_xlfn.IFS(D36&gt;=60,"Senior",D36&gt;=23,"Adult",D36&gt;=18,"Teenager")</f>
        <v>Senior</v>
      </c>
      <c r="F36" s="2" t="s">
        <v>14</v>
      </c>
      <c r="G36" s="3">
        <v>45869</v>
      </c>
      <c r="H36" s="3">
        <v>45832</v>
      </c>
      <c r="I36" s="2" t="s">
        <v>85</v>
      </c>
      <c r="J36" s="2" t="s">
        <v>11</v>
      </c>
      <c r="K36" s="2">
        <v>14380.8</v>
      </c>
      <c r="L36" s="2" t="s">
        <v>19</v>
      </c>
      <c r="M36">
        <f t="shared" si="0"/>
        <v>0.54060324825986084</v>
      </c>
    </row>
    <row r="37" spans="1:13" x14ac:dyDescent="0.35">
      <c r="A37" s="2">
        <v>1063</v>
      </c>
      <c r="B37" s="2">
        <v>36</v>
      </c>
      <c r="C37" s="2" t="s">
        <v>86</v>
      </c>
      <c r="D37" s="2">
        <v>21</v>
      </c>
      <c r="E37" s="2" t="str" cm="1">
        <f t="array" ref="E37">_xlfn.IFS(D37&gt;=60,"Senior",D37&gt;=23,"Adult",D37&gt;=18,"Teenager")</f>
        <v>Teenager</v>
      </c>
      <c r="F37" s="2" t="s">
        <v>14</v>
      </c>
      <c r="G37" s="3">
        <v>45973</v>
      </c>
      <c r="H37" s="3">
        <v>45838</v>
      </c>
      <c r="I37" s="2" t="s">
        <v>87</v>
      </c>
      <c r="J37" s="2" t="s">
        <v>16</v>
      </c>
      <c r="K37" s="2">
        <v>17879.04</v>
      </c>
      <c r="L37" s="2" t="s">
        <v>19</v>
      </c>
      <c r="M37">
        <f t="shared" si="0"/>
        <v>0.53953488372093028</v>
      </c>
    </row>
    <row r="38" spans="1:13" x14ac:dyDescent="0.35">
      <c r="A38" s="2">
        <v>1015</v>
      </c>
      <c r="B38" s="2">
        <v>37</v>
      </c>
      <c r="C38" s="2" t="s">
        <v>88</v>
      </c>
      <c r="D38" s="2">
        <v>37</v>
      </c>
      <c r="E38" s="2" t="str" cm="1">
        <f t="array" ref="E38">_xlfn.IFS(D38&gt;=60,"Senior",D38&gt;=23,"Adult",D38&gt;=18,"Teenager")</f>
        <v>Adult</v>
      </c>
      <c r="F38" s="2" t="s">
        <v>9</v>
      </c>
      <c r="G38" s="3">
        <v>45857</v>
      </c>
      <c r="H38" s="3">
        <v>45453</v>
      </c>
      <c r="I38" s="2" t="s">
        <v>89</v>
      </c>
      <c r="J38" s="2" t="s">
        <v>33</v>
      </c>
      <c r="K38" s="2">
        <v>425.63</v>
      </c>
      <c r="L38" s="2" t="s">
        <v>12</v>
      </c>
      <c r="M38">
        <f t="shared" si="0"/>
        <v>0.53846153846153844</v>
      </c>
    </row>
    <row r="39" spans="1:13" x14ac:dyDescent="0.35">
      <c r="A39" s="2">
        <v>1070</v>
      </c>
      <c r="B39" s="2">
        <v>38</v>
      </c>
      <c r="C39" s="2" t="s">
        <v>90</v>
      </c>
      <c r="D39" s="2">
        <v>85</v>
      </c>
      <c r="E39" s="2" t="str" cm="1">
        <f t="array" ref="E39">_xlfn.IFS(D39&gt;=60,"Senior",D39&gt;=23,"Adult",D39&gt;=18,"Teenager")</f>
        <v>Senior</v>
      </c>
      <c r="F39" s="2" t="s">
        <v>14</v>
      </c>
      <c r="G39" s="3">
        <v>45939</v>
      </c>
      <c r="H39" s="3">
        <v>45524</v>
      </c>
      <c r="I39" s="2" t="s">
        <v>91</v>
      </c>
      <c r="J39" s="2" t="s">
        <v>16</v>
      </c>
      <c r="K39" s="2">
        <v>17809.919999999998</v>
      </c>
      <c r="L39" s="2" t="s">
        <v>12</v>
      </c>
      <c r="M39">
        <f t="shared" si="0"/>
        <v>0.53971962616822433</v>
      </c>
    </row>
    <row r="40" spans="1:13" x14ac:dyDescent="0.35">
      <c r="A40" s="2">
        <v>1022</v>
      </c>
      <c r="B40" s="2">
        <v>39</v>
      </c>
      <c r="C40" s="2" t="s">
        <v>92</v>
      </c>
      <c r="D40" s="2">
        <v>23</v>
      </c>
      <c r="E40" s="2" t="str" cm="1">
        <f t="array" ref="E40">_xlfn.IFS(D40&gt;=60,"Senior",D40&gt;=23,"Adult",D40&gt;=18,"Teenager")</f>
        <v>Adult</v>
      </c>
      <c r="F40" s="2" t="s">
        <v>9</v>
      </c>
      <c r="G40" s="3">
        <v>46072</v>
      </c>
      <c r="H40" s="3">
        <v>45551</v>
      </c>
      <c r="I40" s="2" t="s">
        <v>93</v>
      </c>
      <c r="J40" s="2" t="s">
        <v>33</v>
      </c>
      <c r="K40" s="2">
        <v>36704.639999999999</v>
      </c>
      <c r="L40" s="2" t="s">
        <v>19</v>
      </c>
      <c r="M40">
        <f t="shared" si="0"/>
        <v>0.54098360655737709</v>
      </c>
    </row>
    <row r="41" spans="1:13" x14ac:dyDescent="0.35">
      <c r="A41" s="2">
        <v>1095</v>
      </c>
      <c r="B41" s="2">
        <v>40</v>
      </c>
      <c r="C41" s="2" t="s">
        <v>94</v>
      </c>
      <c r="D41" s="2">
        <v>86</v>
      </c>
      <c r="E41" s="2" t="str" cm="1">
        <f t="array" ref="E41">_xlfn.IFS(D41&gt;=60,"Senior",D41&gt;=23,"Adult",D41&gt;=18,"Teenager")</f>
        <v>Senior</v>
      </c>
      <c r="F41" s="2" t="s">
        <v>9</v>
      </c>
      <c r="G41" s="3">
        <v>45952</v>
      </c>
      <c r="H41" s="3">
        <v>45857</v>
      </c>
      <c r="I41" s="2" t="s">
        <v>95</v>
      </c>
      <c r="J41" s="2" t="s">
        <v>33</v>
      </c>
      <c r="K41" s="2">
        <v>168.18</v>
      </c>
      <c r="L41" s="2" t="s">
        <v>19</v>
      </c>
      <c r="M41">
        <f t="shared" si="0"/>
        <v>0.539906103286385</v>
      </c>
    </row>
    <row r="42" spans="1:13" x14ac:dyDescent="0.35">
      <c r="A42" s="2">
        <v>1088</v>
      </c>
      <c r="B42" s="2">
        <v>41</v>
      </c>
      <c r="C42" s="2" t="s">
        <v>96</v>
      </c>
      <c r="D42" s="2">
        <v>22</v>
      </c>
      <c r="E42" s="2" t="str" cm="1">
        <f t="array" ref="E42">_xlfn.IFS(D42&gt;=60,"Senior",D42&gt;=23,"Adult",D42&gt;=18,"Teenager")</f>
        <v>Teenager</v>
      </c>
      <c r="F42" s="2" t="s">
        <v>14</v>
      </c>
      <c r="G42" s="3">
        <v>45963</v>
      </c>
      <c r="H42" s="3">
        <v>45771</v>
      </c>
      <c r="I42" s="2" t="s">
        <v>97</v>
      </c>
      <c r="J42" s="2" t="s">
        <v>11</v>
      </c>
      <c r="K42" s="2">
        <v>19826.88</v>
      </c>
      <c r="L42" s="2" t="s">
        <v>19</v>
      </c>
      <c r="M42">
        <f t="shared" si="0"/>
        <v>0.5388235294117647</v>
      </c>
    </row>
    <row r="43" spans="1:13" x14ac:dyDescent="0.35">
      <c r="A43" s="2">
        <v>1008</v>
      </c>
      <c r="B43" s="2">
        <v>42</v>
      </c>
      <c r="C43" s="2" t="s">
        <v>98</v>
      </c>
      <c r="D43" s="2">
        <v>69</v>
      </c>
      <c r="E43" s="2" t="str" cm="1">
        <f t="array" ref="E43">_xlfn.IFS(D43&gt;=60,"Senior",D43&gt;=23,"Adult",D43&gt;=18,"Teenager")</f>
        <v>Senior</v>
      </c>
      <c r="F43" s="2" t="s">
        <v>9</v>
      </c>
      <c r="G43" s="3">
        <v>45931</v>
      </c>
      <c r="H43" s="3">
        <v>45435</v>
      </c>
      <c r="I43" s="2" t="s">
        <v>99</v>
      </c>
      <c r="J43" s="2" t="s">
        <v>33</v>
      </c>
      <c r="K43" s="2">
        <v>24788.16</v>
      </c>
      <c r="L43" s="2" t="s">
        <v>12</v>
      </c>
      <c r="M43">
        <f t="shared" si="0"/>
        <v>0.53773584905660377</v>
      </c>
    </row>
    <row r="44" spans="1:13" x14ac:dyDescent="0.35">
      <c r="A44" s="2">
        <v>1005</v>
      </c>
      <c r="B44" s="2">
        <v>43</v>
      </c>
      <c r="C44" s="2" t="s">
        <v>100</v>
      </c>
      <c r="D44" s="2">
        <v>69</v>
      </c>
      <c r="E44" s="2" t="str" cm="1">
        <f t="array" ref="E44">_xlfn.IFS(D44&gt;=60,"Senior",D44&gt;=23,"Adult",D44&gt;=18,"Teenager")</f>
        <v>Senior</v>
      </c>
      <c r="F44" s="2" t="s">
        <v>14</v>
      </c>
      <c r="G44" s="3">
        <v>46083</v>
      </c>
      <c r="H44" s="3">
        <v>45617</v>
      </c>
      <c r="I44" s="2" t="s">
        <v>101</v>
      </c>
      <c r="J44" s="2" t="s">
        <v>11</v>
      </c>
      <c r="K44" s="2">
        <v>83.09</v>
      </c>
      <c r="L44" s="2" t="s">
        <v>19</v>
      </c>
      <c r="M44">
        <f t="shared" si="0"/>
        <v>0.53900709219858156</v>
      </c>
    </row>
    <row r="45" spans="1:13" x14ac:dyDescent="0.35">
      <c r="A45" s="2">
        <v>1098</v>
      </c>
      <c r="B45" s="2">
        <v>44</v>
      </c>
      <c r="C45" s="2" t="s">
        <v>102</v>
      </c>
      <c r="D45" s="2">
        <v>35</v>
      </c>
      <c r="E45" s="2" t="str" cm="1">
        <f t="array" ref="E45">_xlfn.IFS(D45&gt;=60,"Senior",D45&gt;=23,"Adult",D45&gt;=18,"Teenager")</f>
        <v>Adult</v>
      </c>
      <c r="F45" s="2" t="s">
        <v>9</v>
      </c>
      <c r="G45" s="3">
        <v>46094</v>
      </c>
      <c r="H45" s="3">
        <v>45865</v>
      </c>
      <c r="I45" s="2" t="s">
        <v>103</v>
      </c>
      <c r="J45" s="2" t="s">
        <v>33</v>
      </c>
      <c r="K45" s="2">
        <v>7716.48</v>
      </c>
      <c r="L45" s="2" t="s">
        <v>19</v>
      </c>
      <c r="M45">
        <f t="shared" si="0"/>
        <v>0.53791469194312791</v>
      </c>
    </row>
    <row r="46" spans="1:13" x14ac:dyDescent="0.35">
      <c r="A46" s="2">
        <v>1074</v>
      </c>
      <c r="B46" s="2">
        <v>45</v>
      </c>
      <c r="C46" s="2" t="s">
        <v>104</v>
      </c>
      <c r="D46" s="2">
        <v>23</v>
      </c>
      <c r="E46" s="2" t="str" cm="1">
        <f t="array" ref="E46">_xlfn.IFS(D46&gt;=60,"Senior",D46&gt;=23,"Adult",D46&gt;=18,"Teenager")</f>
        <v>Adult</v>
      </c>
      <c r="F46" s="2" t="s">
        <v>9</v>
      </c>
      <c r="G46" s="3">
        <v>46004</v>
      </c>
      <c r="H46" s="3">
        <v>45826</v>
      </c>
      <c r="I46" s="2" t="s">
        <v>105</v>
      </c>
      <c r="J46" s="2" t="s">
        <v>33</v>
      </c>
      <c r="K46" s="2">
        <v>260.39999999999998</v>
      </c>
      <c r="L46" s="2" t="s">
        <v>19</v>
      </c>
      <c r="M46">
        <f t="shared" si="0"/>
        <v>0.53681710213776723</v>
      </c>
    </row>
    <row r="47" spans="1:13" x14ac:dyDescent="0.35">
      <c r="A47" s="2">
        <v>1097</v>
      </c>
      <c r="B47" s="2">
        <v>46</v>
      </c>
      <c r="C47" s="2" t="s">
        <v>106</v>
      </c>
      <c r="D47" s="2">
        <v>50</v>
      </c>
      <c r="E47" s="2" t="str" cm="1">
        <f t="array" ref="E47">_xlfn.IFS(D47&gt;=60,"Senior",D47&gt;=23,"Adult",D47&gt;=18,"Teenager")</f>
        <v>Adult</v>
      </c>
      <c r="F47" s="2" t="s">
        <v>14</v>
      </c>
      <c r="G47" s="3">
        <v>45984</v>
      </c>
      <c r="H47" s="3">
        <v>45924</v>
      </c>
      <c r="I47" s="2" t="s">
        <v>107</v>
      </c>
      <c r="J47" s="2" t="s">
        <v>33</v>
      </c>
      <c r="K47" s="2">
        <v>28279.68</v>
      </c>
      <c r="L47" s="2" t="s">
        <v>19</v>
      </c>
      <c r="M47">
        <f t="shared" si="0"/>
        <v>0.5357142857142857</v>
      </c>
    </row>
    <row r="48" spans="1:13" x14ac:dyDescent="0.35">
      <c r="A48" s="2">
        <v>1047</v>
      </c>
      <c r="B48" s="2">
        <v>47</v>
      </c>
      <c r="C48" s="2" t="s">
        <v>108</v>
      </c>
      <c r="D48" s="2">
        <v>40</v>
      </c>
      <c r="E48" s="2" t="str" cm="1">
        <f t="array" ref="E48">_xlfn.IFS(D48&gt;=60,"Senior",D48&gt;=23,"Adult",D48&gt;=18,"Teenager")</f>
        <v>Adult</v>
      </c>
      <c r="F48" s="2" t="s">
        <v>14</v>
      </c>
      <c r="G48" s="3">
        <v>46078</v>
      </c>
      <c r="H48" s="3">
        <v>45663</v>
      </c>
      <c r="I48" s="2" t="s">
        <v>109</v>
      </c>
      <c r="J48" s="2" t="s">
        <v>33</v>
      </c>
      <c r="K48" s="2">
        <v>23724.48</v>
      </c>
      <c r="L48" s="2" t="s">
        <v>19</v>
      </c>
      <c r="M48">
        <f t="shared" si="0"/>
        <v>0.53460620525059666</v>
      </c>
    </row>
    <row r="49" spans="1:13" x14ac:dyDescent="0.35">
      <c r="A49" s="2">
        <v>1044</v>
      </c>
      <c r="B49" s="2">
        <v>48</v>
      </c>
      <c r="C49" s="2" t="s">
        <v>110</v>
      </c>
      <c r="D49" s="2">
        <v>57</v>
      </c>
      <c r="E49" s="2" t="str" cm="1">
        <f t="array" ref="E49">_xlfn.IFS(D49&gt;=60,"Senior",D49&gt;=23,"Adult",D49&gt;=18,"Teenager")</f>
        <v>Adult</v>
      </c>
      <c r="F49" s="2" t="s">
        <v>9</v>
      </c>
      <c r="G49" s="3">
        <v>45905</v>
      </c>
      <c r="H49" s="3">
        <v>45644</v>
      </c>
      <c r="I49" s="2" t="s">
        <v>111</v>
      </c>
      <c r="J49" s="2" t="s">
        <v>33</v>
      </c>
      <c r="K49" s="2">
        <v>383.69</v>
      </c>
      <c r="L49" s="2" t="s">
        <v>12</v>
      </c>
      <c r="M49">
        <f t="shared" si="0"/>
        <v>0.53349282296650713</v>
      </c>
    </row>
    <row r="50" spans="1:13" x14ac:dyDescent="0.35">
      <c r="A50" s="2">
        <v>1100</v>
      </c>
      <c r="B50" s="2">
        <v>49</v>
      </c>
      <c r="C50" s="2" t="s">
        <v>112</v>
      </c>
      <c r="D50" s="2">
        <v>58</v>
      </c>
      <c r="E50" s="2" t="str" cm="1">
        <f t="array" ref="E50">_xlfn.IFS(D50&gt;=60,"Senior",D50&gt;=23,"Adult",D50&gt;=18,"Teenager")</f>
        <v>Adult</v>
      </c>
      <c r="F50" s="2" t="s">
        <v>14</v>
      </c>
      <c r="G50" s="3">
        <v>45723</v>
      </c>
      <c r="H50" s="3">
        <v>45529</v>
      </c>
      <c r="I50" s="2" t="s">
        <v>113</v>
      </c>
      <c r="J50" s="2" t="s">
        <v>16</v>
      </c>
      <c r="K50" s="2">
        <v>329.25</v>
      </c>
      <c r="L50" s="2" t="s">
        <v>12</v>
      </c>
      <c r="M50">
        <f t="shared" si="0"/>
        <v>0.53477218225419665</v>
      </c>
    </row>
    <row r="51" spans="1:13" x14ac:dyDescent="0.35">
      <c r="A51" s="2">
        <v>1027</v>
      </c>
      <c r="B51" s="2">
        <v>50</v>
      </c>
      <c r="C51" s="2" t="s">
        <v>114</v>
      </c>
      <c r="D51" s="2">
        <v>35</v>
      </c>
      <c r="E51" s="2" t="str" cm="1">
        <f t="array" ref="E51">_xlfn.IFS(D51&gt;=60,"Senior",D51&gt;=23,"Adult",D51&gt;=18,"Teenager")</f>
        <v>Adult</v>
      </c>
      <c r="F51" s="2" t="s">
        <v>14</v>
      </c>
      <c r="G51" s="3">
        <v>45923</v>
      </c>
      <c r="H51" s="3">
        <v>45488</v>
      </c>
      <c r="I51" s="2" t="s">
        <v>115</v>
      </c>
      <c r="J51" s="2" t="s">
        <v>33</v>
      </c>
      <c r="K51" s="2">
        <v>289.07</v>
      </c>
      <c r="L51" s="2" t="s">
        <v>19</v>
      </c>
      <c r="M51">
        <f t="shared" si="0"/>
        <v>0.53605769230769229</v>
      </c>
    </row>
    <row r="52" spans="1:13" x14ac:dyDescent="0.35">
      <c r="A52" s="2">
        <v>1099</v>
      </c>
      <c r="B52" s="2">
        <v>51</v>
      </c>
      <c r="C52" s="2" t="s">
        <v>116</v>
      </c>
      <c r="D52" s="2">
        <v>31</v>
      </c>
      <c r="E52" s="2" t="str" cm="1">
        <f t="array" ref="E52">_xlfn.IFS(D52&gt;=60,"Senior",D52&gt;=23,"Adult",D52&gt;=18,"Teenager")</f>
        <v>Adult</v>
      </c>
      <c r="F52" s="2" t="s">
        <v>14</v>
      </c>
      <c r="G52" s="3">
        <v>45968</v>
      </c>
      <c r="H52" s="3">
        <v>45735</v>
      </c>
      <c r="I52" s="2" t="s">
        <v>117</v>
      </c>
      <c r="J52" s="2" t="s">
        <v>33</v>
      </c>
      <c r="K52" s="2">
        <v>259.72000000000003</v>
      </c>
      <c r="L52" s="2" t="s">
        <v>19</v>
      </c>
      <c r="M52">
        <f t="shared" si="0"/>
        <v>0.53493975903614455</v>
      </c>
    </row>
    <row r="53" spans="1:13" x14ac:dyDescent="0.35">
      <c r="A53" s="2">
        <v>1040</v>
      </c>
      <c r="B53" s="2">
        <v>52</v>
      </c>
      <c r="C53" s="2" t="s">
        <v>118</v>
      </c>
      <c r="D53" s="2">
        <v>34</v>
      </c>
      <c r="E53" s="2" t="str" cm="1">
        <f t="array" ref="E53">_xlfn.IFS(D53&gt;=60,"Senior",D53&gt;=23,"Adult",D53&gt;=18,"Teenager")</f>
        <v>Adult</v>
      </c>
      <c r="F53" s="2" t="s">
        <v>9</v>
      </c>
      <c r="G53" s="3">
        <v>45961</v>
      </c>
      <c r="H53" s="3">
        <v>45735</v>
      </c>
      <c r="I53" s="2" t="s">
        <v>119</v>
      </c>
      <c r="J53" s="2" t="s">
        <v>16</v>
      </c>
      <c r="K53" s="2">
        <v>13662.72</v>
      </c>
      <c r="L53" s="2" t="s">
        <v>12</v>
      </c>
      <c r="M53">
        <f t="shared" si="0"/>
        <v>0.53381642512077299</v>
      </c>
    </row>
    <row r="54" spans="1:13" x14ac:dyDescent="0.35">
      <c r="A54" s="2">
        <v>1031</v>
      </c>
      <c r="B54" s="2">
        <v>53</v>
      </c>
      <c r="C54" s="2" t="s">
        <v>120</v>
      </c>
      <c r="D54" s="2">
        <v>65</v>
      </c>
      <c r="E54" s="2" t="str" cm="1">
        <f t="array" ref="E54">_xlfn.IFS(D54&gt;=60,"Senior",D54&gt;=23,"Adult",D54&gt;=18,"Teenager")</f>
        <v>Senior</v>
      </c>
      <c r="F54" s="2" t="s">
        <v>9</v>
      </c>
      <c r="G54" s="3">
        <v>45816</v>
      </c>
      <c r="H54" s="3">
        <v>45671</v>
      </c>
      <c r="I54" s="2" t="s">
        <v>121</v>
      </c>
      <c r="J54" s="2" t="s">
        <v>11</v>
      </c>
      <c r="K54" s="2">
        <v>31224</v>
      </c>
      <c r="L54" s="2" t="s">
        <v>12</v>
      </c>
      <c r="M54">
        <f t="shared" si="0"/>
        <v>0.53510895883777243</v>
      </c>
    </row>
    <row r="55" spans="1:13" x14ac:dyDescent="0.35">
      <c r="A55" s="2">
        <v>1089</v>
      </c>
      <c r="B55" s="2">
        <v>54</v>
      </c>
      <c r="C55" s="2" t="s">
        <v>122</v>
      </c>
      <c r="D55" s="2">
        <v>56</v>
      </c>
      <c r="E55" s="2" t="str" cm="1">
        <f t="array" ref="E55">_xlfn.IFS(D55&gt;=60,"Senior",D55&gt;=23,"Adult",D55&gt;=18,"Teenager")</f>
        <v>Adult</v>
      </c>
      <c r="F55" s="2" t="s">
        <v>14</v>
      </c>
      <c r="G55" s="3">
        <v>46071</v>
      </c>
      <c r="H55" s="3">
        <v>45634</v>
      </c>
      <c r="I55" s="2" t="s">
        <v>123</v>
      </c>
      <c r="J55" s="2" t="s">
        <v>33</v>
      </c>
      <c r="K55" s="2">
        <v>33377.279999999999</v>
      </c>
      <c r="L55" s="2" t="s">
        <v>19</v>
      </c>
      <c r="M55">
        <f t="shared" si="0"/>
        <v>0.53640776699029125</v>
      </c>
    </row>
    <row r="56" spans="1:13" x14ac:dyDescent="0.35">
      <c r="A56" s="2">
        <v>1058</v>
      </c>
      <c r="B56" s="2">
        <v>55</v>
      </c>
      <c r="C56" s="2" t="s">
        <v>124</v>
      </c>
      <c r="D56" s="2">
        <v>24</v>
      </c>
      <c r="E56" s="2" t="str" cm="1">
        <f t="array" ref="E56">_xlfn.IFS(D56&gt;=60,"Senior",D56&gt;=23,"Adult",D56&gt;=18,"Teenager")</f>
        <v>Adult</v>
      </c>
      <c r="F56" s="2" t="s">
        <v>9</v>
      </c>
      <c r="G56" s="3">
        <v>46069</v>
      </c>
      <c r="H56" s="3">
        <v>45895</v>
      </c>
      <c r="I56" s="2" t="s">
        <v>125</v>
      </c>
      <c r="J56" s="2" t="s">
        <v>11</v>
      </c>
      <c r="K56" s="2">
        <v>420.58</v>
      </c>
      <c r="L56" s="2" t="s">
        <v>12</v>
      </c>
      <c r="M56">
        <f t="shared" si="0"/>
        <v>0.53527980535279807</v>
      </c>
    </row>
    <row r="57" spans="1:13" x14ac:dyDescent="0.35">
      <c r="A57" s="2">
        <v>1087</v>
      </c>
      <c r="B57" s="2">
        <v>56</v>
      </c>
      <c r="C57" s="2" t="s">
        <v>126</v>
      </c>
      <c r="D57" s="2">
        <v>72</v>
      </c>
      <c r="E57" s="2" t="str" cm="1">
        <f t="array" ref="E57">_xlfn.IFS(D57&gt;=60,"Senior",D57&gt;=23,"Adult",D57&gt;=18,"Teenager")</f>
        <v>Senior</v>
      </c>
      <c r="F57" s="2" t="s">
        <v>9</v>
      </c>
      <c r="G57" s="3">
        <v>45834</v>
      </c>
      <c r="H57" s="3">
        <v>45796</v>
      </c>
      <c r="I57" s="2" t="s">
        <v>127</v>
      </c>
      <c r="J57" s="2" t="s">
        <v>11</v>
      </c>
      <c r="K57" s="2">
        <v>205.35</v>
      </c>
      <c r="L57" s="2" t="s">
        <v>19</v>
      </c>
      <c r="M57">
        <f t="shared" si="0"/>
        <v>0.53658536585365857</v>
      </c>
    </row>
    <row r="58" spans="1:13" x14ac:dyDescent="0.35">
      <c r="A58" s="2">
        <v>1090</v>
      </c>
      <c r="B58" s="2">
        <v>57</v>
      </c>
      <c r="C58" s="2" t="s">
        <v>128</v>
      </c>
      <c r="D58" s="2">
        <v>63</v>
      </c>
      <c r="E58" s="2" t="str" cm="1">
        <f t="array" ref="E58">_xlfn.IFS(D58&gt;=60,"Senior",D58&gt;=23,"Adult",D58&gt;=18,"Teenager")</f>
        <v>Senior</v>
      </c>
      <c r="F58" s="2" t="s">
        <v>9</v>
      </c>
      <c r="G58" s="3">
        <v>46019</v>
      </c>
      <c r="H58" s="3">
        <v>46013</v>
      </c>
      <c r="I58" s="2" t="s">
        <v>129</v>
      </c>
      <c r="J58" s="2" t="s">
        <v>16</v>
      </c>
      <c r="K58" s="2">
        <v>155.41999999999999</v>
      </c>
      <c r="L58" s="2" t="s">
        <v>19</v>
      </c>
      <c r="M58">
        <f t="shared" si="0"/>
        <v>0.53545232273838628</v>
      </c>
    </row>
    <row r="59" spans="1:13" x14ac:dyDescent="0.35">
      <c r="A59" s="2">
        <v>1086</v>
      </c>
      <c r="B59" s="2">
        <v>58</v>
      </c>
      <c r="C59" s="2" t="s">
        <v>130</v>
      </c>
      <c r="D59" s="2">
        <v>80</v>
      </c>
      <c r="E59" s="2" t="str" cm="1">
        <f t="array" ref="E59">_xlfn.IFS(D59&gt;=60,"Senior",D59&gt;=23,"Adult",D59&gt;=18,"Teenager")</f>
        <v>Senior</v>
      </c>
      <c r="F59" s="2" t="s">
        <v>9</v>
      </c>
      <c r="G59" s="3">
        <v>45669</v>
      </c>
      <c r="H59" s="3">
        <v>45593</v>
      </c>
      <c r="I59" s="2" t="s">
        <v>131</v>
      </c>
      <c r="J59" s="2" t="s">
        <v>33</v>
      </c>
      <c r="K59" s="2">
        <v>47328</v>
      </c>
      <c r="L59" s="2" t="s">
        <v>19</v>
      </c>
      <c r="M59">
        <f t="shared" si="0"/>
        <v>0.53431372549019607</v>
      </c>
    </row>
    <row r="60" spans="1:13" x14ac:dyDescent="0.35">
      <c r="A60" s="2">
        <v>1047</v>
      </c>
      <c r="B60" s="2">
        <v>59</v>
      </c>
      <c r="C60" s="2" t="s">
        <v>132</v>
      </c>
      <c r="D60" s="2">
        <v>39</v>
      </c>
      <c r="E60" s="2" t="str" cm="1">
        <f t="array" ref="E60">_xlfn.IFS(D60&gt;=60,"Senior",D60&gt;=23,"Adult",D60&gt;=18,"Teenager")</f>
        <v>Adult</v>
      </c>
      <c r="F60" s="2" t="s">
        <v>14</v>
      </c>
      <c r="G60" s="3">
        <v>45983</v>
      </c>
      <c r="H60" s="3">
        <v>45610</v>
      </c>
      <c r="I60" s="2" t="s">
        <v>133</v>
      </c>
      <c r="J60" s="2" t="s">
        <v>16</v>
      </c>
      <c r="K60" s="2">
        <v>23342.400000000001</v>
      </c>
      <c r="L60" s="2" t="s">
        <v>12</v>
      </c>
      <c r="M60">
        <f t="shared" si="0"/>
        <v>0.53316953316953319</v>
      </c>
    </row>
    <row r="61" spans="1:13" x14ac:dyDescent="0.35">
      <c r="A61" s="2">
        <v>1073</v>
      </c>
      <c r="B61" s="2">
        <v>60</v>
      </c>
      <c r="C61" s="2" t="s">
        <v>134</v>
      </c>
      <c r="D61" s="2">
        <v>38</v>
      </c>
      <c r="E61" s="2" t="str" cm="1">
        <f t="array" ref="E61">_xlfn.IFS(D61&gt;=60,"Senior",D61&gt;=23,"Adult",D61&gt;=18,"Teenager")</f>
        <v>Adult</v>
      </c>
      <c r="F61" s="2" t="s">
        <v>9</v>
      </c>
      <c r="G61" s="3">
        <v>45990</v>
      </c>
      <c r="H61" s="3">
        <v>45849</v>
      </c>
      <c r="I61" s="2" t="s">
        <v>135</v>
      </c>
      <c r="J61" s="2" t="s">
        <v>33</v>
      </c>
      <c r="K61" s="2">
        <v>335.07</v>
      </c>
      <c r="L61" s="2" t="s">
        <v>12</v>
      </c>
      <c r="M61">
        <f t="shared" si="0"/>
        <v>0.53448275862068961</v>
      </c>
    </row>
    <row r="62" spans="1:13" x14ac:dyDescent="0.35">
      <c r="A62" s="2">
        <v>1027</v>
      </c>
      <c r="B62" s="2">
        <v>61</v>
      </c>
      <c r="C62" s="2" t="s">
        <v>136</v>
      </c>
      <c r="D62" s="2">
        <v>54</v>
      </c>
      <c r="E62" s="2" t="str" cm="1">
        <f t="array" ref="E62">_xlfn.IFS(D62&gt;=60,"Senior",D62&gt;=23,"Adult",D62&gt;=18,"Teenager")</f>
        <v>Adult</v>
      </c>
      <c r="F62" s="2" t="s">
        <v>9</v>
      </c>
      <c r="G62" s="3">
        <v>46018</v>
      </c>
      <c r="H62" s="3">
        <v>45804</v>
      </c>
      <c r="I62" s="2" t="s">
        <v>137</v>
      </c>
      <c r="J62" s="2" t="s">
        <v>33</v>
      </c>
      <c r="K62" s="2">
        <v>39558.720000000001</v>
      </c>
      <c r="L62" s="2" t="s">
        <v>12</v>
      </c>
      <c r="M62">
        <f t="shared" si="0"/>
        <v>0.53580246913580243</v>
      </c>
    </row>
    <row r="63" spans="1:13" x14ac:dyDescent="0.35">
      <c r="A63" s="2">
        <v>1037</v>
      </c>
      <c r="B63" s="2">
        <v>62</v>
      </c>
      <c r="C63" s="2" t="s">
        <v>138</v>
      </c>
      <c r="D63" s="2">
        <v>22</v>
      </c>
      <c r="E63" s="2" t="str" cm="1">
        <f t="array" ref="E63">_xlfn.IFS(D63&gt;=60,"Senior",D63&gt;=23,"Adult",D63&gt;=18,"Teenager")</f>
        <v>Teenager</v>
      </c>
      <c r="F63" s="2" t="s">
        <v>9</v>
      </c>
      <c r="G63" s="3">
        <v>46081</v>
      </c>
      <c r="H63" s="3">
        <v>45738</v>
      </c>
      <c r="I63" s="2" t="s">
        <v>139</v>
      </c>
      <c r="J63" s="2" t="s">
        <v>16</v>
      </c>
      <c r="K63" s="2">
        <v>401.33</v>
      </c>
      <c r="L63" s="2" t="s">
        <v>19</v>
      </c>
      <c r="M63">
        <f t="shared" si="0"/>
        <v>0.53712871287128716</v>
      </c>
    </row>
    <row r="64" spans="1:13" x14ac:dyDescent="0.35">
      <c r="A64" s="2">
        <v>1021</v>
      </c>
      <c r="B64" s="2">
        <v>63</v>
      </c>
      <c r="C64" s="2" t="s">
        <v>140</v>
      </c>
      <c r="D64" s="2">
        <v>27</v>
      </c>
      <c r="E64" s="2" t="str" cm="1">
        <f t="array" ref="E64">_xlfn.IFS(D64&gt;=60,"Senior",D64&gt;=23,"Adult",D64&gt;=18,"Teenager")</f>
        <v>Adult</v>
      </c>
      <c r="F64" s="2" t="s">
        <v>9</v>
      </c>
      <c r="G64" s="3">
        <v>45781</v>
      </c>
      <c r="H64" s="3">
        <v>45484</v>
      </c>
      <c r="I64" s="2" t="s">
        <v>141</v>
      </c>
      <c r="J64" s="2" t="s">
        <v>11</v>
      </c>
      <c r="K64" s="2">
        <v>46710.720000000001</v>
      </c>
      <c r="L64" s="2" t="s">
        <v>19</v>
      </c>
      <c r="M64">
        <f t="shared" si="0"/>
        <v>0.53598014888337464</v>
      </c>
    </row>
    <row r="65" spans="1:13" x14ac:dyDescent="0.35">
      <c r="A65" s="2">
        <v>1074</v>
      </c>
      <c r="B65" s="2">
        <v>64</v>
      </c>
      <c r="C65" s="2" t="s">
        <v>142</v>
      </c>
      <c r="D65" s="2">
        <v>19</v>
      </c>
      <c r="E65" s="2" t="str" cm="1">
        <f t="array" ref="E65">_xlfn.IFS(D65&gt;=60,"Senior",D65&gt;=23,"Adult",D65&gt;=18,"Teenager")</f>
        <v>Teenager</v>
      </c>
      <c r="F65" s="2" t="s">
        <v>9</v>
      </c>
      <c r="G65" s="3">
        <v>45771</v>
      </c>
      <c r="H65" s="3">
        <v>45573</v>
      </c>
      <c r="I65" s="2" t="s">
        <v>143</v>
      </c>
      <c r="J65" s="2" t="s">
        <v>16</v>
      </c>
      <c r="K65" s="2">
        <v>43752</v>
      </c>
      <c r="L65" s="2" t="s">
        <v>12</v>
      </c>
      <c r="M65">
        <f t="shared" si="0"/>
        <v>0.53482587064676612</v>
      </c>
    </row>
    <row r="66" spans="1:13" x14ac:dyDescent="0.35">
      <c r="A66" s="2">
        <v>1033</v>
      </c>
      <c r="B66" s="2">
        <v>65</v>
      </c>
      <c r="C66" s="2" t="s">
        <v>144</v>
      </c>
      <c r="D66" s="2">
        <v>68</v>
      </c>
      <c r="E66" s="2" t="str" cm="1">
        <f t="array" ref="E66">_xlfn.IFS(D66&gt;=60,"Senior",D66&gt;=23,"Adult",D66&gt;=18,"Teenager")</f>
        <v>Senior</v>
      </c>
      <c r="F66" s="2" t="s">
        <v>14</v>
      </c>
      <c r="G66" s="3">
        <v>45958</v>
      </c>
      <c r="H66" s="3">
        <v>45581</v>
      </c>
      <c r="I66" s="2" t="s">
        <v>145</v>
      </c>
      <c r="J66" s="2" t="s">
        <v>11</v>
      </c>
      <c r="K66" s="2">
        <v>44933.760000000002</v>
      </c>
      <c r="L66" s="2" t="s">
        <v>19</v>
      </c>
      <c r="M66">
        <f t="shared" si="0"/>
        <v>0.53615960099750626</v>
      </c>
    </row>
    <row r="67" spans="1:13" x14ac:dyDescent="0.35">
      <c r="A67" s="2">
        <v>1087</v>
      </c>
      <c r="B67" s="2">
        <v>66</v>
      </c>
      <c r="C67" s="2" t="s">
        <v>146</v>
      </c>
      <c r="D67" s="2">
        <v>80</v>
      </c>
      <c r="E67" s="2" t="str" cm="1">
        <f t="array" ref="E67">_xlfn.IFS(D67&gt;=60,"Senior",D67&gt;=23,"Adult",D67&gt;=18,"Teenager")</f>
        <v>Senior</v>
      </c>
      <c r="F67" s="2" t="s">
        <v>14</v>
      </c>
      <c r="G67" s="3">
        <v>46029</v>
      </c>
      <c r="H67" s="3">
        <v>45438</v>
      </c>
      <c r="I67" s="2" t="s">
        <v>147</v>
      </c>
      <c r="J67" s="2" t="s">
        <v>16</v>
      </c>
      <c r="K67" s="2">
        <v>8371.2000000000007</v>
      </c>
      <c r="L67" s="2" t="s">
        <v>12</v>
      </c>
      <c r="M67">
        <f t="shared" ref="M67:M130" si="1">COUNTIF(L67:L531,"Yes")/COUNTA(L67:L531)</f>
        <v>0.53500000000000003</v>
      </c>
    </row>
    <row r="68" spans="1:13" x14ac:dyDescent="0.35">
      <c r="A68" s="2">
        <v>1043</v>
      </c>
      <c r="B68" s="2">
        <v>67</v>
      </c>
      <c r="C68" s="2" t="s">
        <v>148</v>
      </c>
      <c r="D68" s="2">
        <v>58</v>
      </c>
      <c r="E68" s="2" t="str" cm="1">
        <f t="array" ref="E68">_xlfn.IFS(D68&gt;=60,"Senior",D68&gt;=23,"Adult",D68&gt;=18,"Teenager")</f>
        <v>Adult</v>
      </c>
      <c r="F68" s="2" t="s">
        <v>14</v>
      </c>
      <c r="G68" s="3">
        <v>45967</v>
      </c>
      <c r="H68" s="3">
        <v>45792</v>
      </c>
      <c r="I68" s="2" t="s">
        <v>149</v>
      </c>
      <c r="J68" s="2" t="s">
        <v>26</v>
      </c>
      <c r="K68" s="2">
        <v>21789.119999999999</v>
      </c>
      <c r="L68" s="2" t="s">
        <v>12</v>
      </c>
      <c r="M68">
        <f t="shared" si="1"/>
        <v>0.53634085213032578</v>
      </c>
    </row>
    <row r="69" spans="1:13" x14ac:dyDescent="0.35">
      <c r="A69" s="2">
        <v>1020</v>
      </c>
      <c r="B69" s="2">
        <v>68</v>
      </c>
      <c r="C69" s="2" t="s">
        <v>150</v>
      </c>
      <c r="D69" s="2">
        <v>31</v>
      </c>
      <c r="E69" s="2" t="str" cm="1">
        <f t="array" ref="E69">_xlfn.IFS(D69&gt;=60,"Senior",D69&gt;=23,"Adult",D69&gt;=18,"Teenager")</f>
        <v>Adult</v>
      </c>
      <c r="F69" s="2" t="s">
        <v>14</v>
      </c>
      <c r="G69" s="3">
        <v>45929</v>
      </c>
      <c r="H69" s="3">
        <v>45600</v>
      </c>
      <c r="I69" s="2" t="s">
        <v>151</v>
      </c>
      <c r="J69" s="2" t="s">
        <v>16</v>
      </c>
      <c r="K69" s="2">
        <v>139.81</v>
      </c>
      <c r="L69" s="2" t="s">
        <v>19</v>
      </c>
      <c r="M69">
        <f t="shared" si="1"/>
        <v>0.53768844221105527</v>
      </c>
    </row>
    <row r="70" spans="1:13" x14ac:dyDescent="0.35">
      <c r="A70" s="2">
        <v>1089</v>
      </c>
      <c r="B70" s="2">
        <v>69</v>
      </c>
      <c r="C70" s="2" t="s">
        <v>152</v>
      </c>
      <c r="D70" s="2">
        <v>73</v>
      </c>
      <c r="E70" s="2" t="str" cm="1">
        <f t="array" ref="E70">_xlfn.IFS(D70&gt;=60,"Senior",D70&gt;=23,"Adult",D70&gt;=18,"Teenager")</f>
        <v>Senior</v>
      </c>
      <c r="F70" s="2" t="s">
        <v>9</v>
      </c>
      <c r="G70" s="3">
        <v>45662</v>
      </c>
      <c r="H70" s="3">
        <v>45498</v>
      </c>
      <c r="I70" s="2" t="s">
        <v>153</v>
      </c>
      <c r="J70" s="2" t="s">
        <v>26</v>
      </c>
      <c r="K70" s="2">
        <v>44743.68</v>
      </c>
      <c r="L70" s="2" t="s">
        <v>12</v>
      </c>
      <c r="M70">
        <f t="shared" si="1"/>
        <v>0.53652392947103278</v>
      </c>
    </row>
    <row r="71" spans="1:13" x14ac:dyDescent="0.35">
      <c r="A71" s="2">
        <v>1005</v>
      </c>
      <c r="B71" s="2">
        <v>70</v>
      </c>
      <c r="C71" s="2" t="s">
        <v>154</v>
      </c>
      <c r="D71" s="2">
        <v>63</v>
      </c>
      <c r="E71" s="2" t="str" cm="1">
        <f t="array" ref="E71">_xlfn.IFS(D71&gt;=60,"Senior",D71&gt;=23,"Adult",D71&gt;=18,"Teenager")</f>
        <v>Senior</v>
      </c>
      <c r="F71" s="2" t="s">
        <v>14</v>
      </c>
      <c r="G71" s="3">
        <v>45921</v>
      </c>
      <c r="H71" s="3">
        <v>45423</v>
      </c>
      <c r="I71" s="2" t="s">
        <v>155</v>
      </c>
      <c r="J71" s="2" t="s">
        <v>26</v>
      </c>
      <c r="K71" s="2">
        <v>352.03</v>
      </c>
      <c r="L71" s="2" t="s">
        <v>19</v>
      </c>
      <c r="M71">
        <f t="shared" si="1"/>
        <v>0.53787878787878785</v>
      </c>
    </row>
    <row r="72" spans="1:13" x14ac:dyDescent="0.35">
      <c r="A72" s="2">
        <v>1031</v>
      </c>
      <c r="B72" s="2">
        <v>71</v>
      </c>
      <c r="C72" s="2" t="s">
        <v>156</v>
      </c>
      <c r="D72" s="2">
        <v>49</v>
      </c>
      <c r="E72" s="2" t="str" cm="1">
        <f t="array" ref="E72">_xlfn.IFS(D72&gt;=60,"Senior",D72&gt;=23,"Adult",D72&gt;=18,"Teenager")</f>
        <v>Adult</v>
      </c>
      <c r="F72" s="2" t="s">
        <v>9</v>
      </c>
      <c r="G72" s="3">
        <v>46024</v>
      </c>
      <c r="H72" s="3">
        <v>45990</v>
      </c>
      <c r="I72" s="2" t="s">
        <v>157</v>
      </c>
      <c r="J72" s="2" t="s">
        <v>16</v>
      </c>
      <c r="K72" s="2">
        <v>44274.239999999998</v>
      </c>
      <c r="L72" s="2" t="s">
        <v>12</v>
      </c>
      <c r="M72">
        <f t="shared" si="1"/>
        <v>0.53670886075949364</v>
      </c>
    </row>
    <row r="73" spans="1:13" x14ac:dyDescent="0.35">
      <c r="A73" s="2">
        <v>1040</v>
      </c>
      <c r="B73" s="2">
        <v>72</v>
      </c>
      <c r="C73" s="2" t="s">
        <v>158</v>
      </c>
      <c r="D73" s="2">
        <v>52</v>
      </c>
      <c r="E73" s="2" t="str" cm="1">
        <f t="array" ref="E73">_xlfn.IFS(D73&gt;=60,"Senior",D73&gt;=23,"Adult",D73&gt;=18,"Teenager")</f>
        <v>Adult</v>
      </c>
      <c r="F73" s="2" t="s">
        <v>14</v>
      </c>
      <c r="G73" s="3">
        <v>45795</v>
      </c>
      <c r="H73" s="3">
        <v>45703</v>
      </c>
      <c r="I73" s="2" t="s">
        <v>159</v>
      </c>
      <c r="J73" s="2" t="s">
        <v>26</v>
      </c>
      <c r="K73" s="2">
        <v>12547.2</v>
      </c>
      <c r="L73" s="2" t="s">
        <v>12</v>
      </c>
      <c r="M73">
        <f t="shared" si="1"/>
        <v>0.53807106598984766</v>
      </c>
    </row>
    <row r="74" spans="1:13" x14ac:dyDescent="0.35">
      <c r="A74" s="2">
        <v>1021</v>
      </c>
      <c r="B74" s="2">
        <v>73</v>
      </c>
      <c r="C74" s="2" t="s">
        <v>160</v>
      </c>
      <c r="D74" s="2">
        <v>38</v>
      </c>
      <c r="E74" s="2" t="str" cm="1">
        <f t="array" ref="E74">_xlfn.IFS(D74&gt;=60,"Senior",D74&gt;=23,"Adult",D74&gt;=18,"Teenager")</f>
        <v>Adult</v>
      </c>
      <c r="F74" s="2" t="s">
        <v>9</v>
      </c>
      <c r="G74" s="3">
        <v>45962</v>
      </c>
      <c r="H74" s="3">
        <v>45437</v>
      </c>
      <c r="I74" s="2" t="s">
        <v>161</v>
      </c>
      <c r="J74" s="2" t="s">
        <v>16</v>
      </c>
      <c r="K74" s="2">
        <v>11765.76</v>
      </c>
      <c r="L74" s="2" t="s">
        <v>19</v>
      </c>
      <c r="M74">
        <f t="shared" si="1"/>
        <v>0.53944020356234101</v>
      </c>
    </row>
    <row r="75" spans="1:13" x14ac:dyDescent="0.35">
      <c r="A75" s="2">
        <v>1011</v>
      </c>
      <c r="B75" s="2">
        <v>74</v>
      </c>
      <c r="C75" s="2" t="s">
        <v>162</v>
      </c>
      <c r="D75" s="2">
        <v>66</v>
      </c>
      <c r="E75" s="2" t="str" cm="1">
        <f t="array" ref="E75">_xlfn.IFS(D75&gt;=60,"Senior",D75&gt;=23,"Adult",D75&gt;=18,"Teenager")</f>
        <v>Senior</v>
      </c>
      <c r="F75" s="2" t="s">
        <v>14</v>
      </c>
      <c r="G75" s="3">
        <v>45776</v>
      </c>
      <c r="H75" s="3">
        <v>45754</v>
      </c>
      <c r="I75" s="2" t="s">
        <v>163</v>
      </c>
      <c r="J75" s="2" t="s">
        <v>11</v>
      </c>
      <c r="K75" s="2">
        <v>413.21</v>
      </c>
      <c r="L75" s="2" t="s">
        <v>19</v>
      </c>
      <c r="M75">
        <f t="shared" si="1"/>
        <v>0.53826530612244894</v>
      </c>
    </row>
    <row r="76" spans="1:13" x14ac:dyDescent="0.35">
      <c r="A76" s="2">
        <v>1002</v>
      </c>
      <c r="B76" s="2">
        <v>75</v>
      </c>
      <c r="C76" s="2" t="s">
        <v>164</v>
      </c>
      <c r="D76" s="2">
        <v>87</v>
      </c>
      <c r="E76" s="2" t="str" cm="1">
        <f t="array" ref="E76">_xlfn.IFS(D76&gt;=60,"Senior",D76&gt;=23,"Adult",D76&gt;=18,"Teenager")</f>
        <v>Senior</v>
      </c>
      <c r="F76" s="2" t="s">
        <v>14</v>
      </c>
      <c r="G76" s="3">
        <v>45755</v>
      </c>
      <c r="H76" s="3">
        <v>45630</v>
      </c>
      <c r="I76" s="2" t="s">
        <v>165</v>
      </c>
      <c r="J76" s="2" t="s">
        <v>26</v>
      </c>
      <c r="K76" s="2">
        <v>38548.800000000003</v>
      </c>
      <c r="L76" s="2" t="s">
        <v>19</v>
      </c>
      <c r="M76">
        <f t="shared" si="1"/>
        <v>0.53708439897698212</v>
      </c>
    </row>
    <row r="77" spans="1:13" x14ac:dyDescent="0.35">
      <c r="A77" s="2">
        <v>1065</v>
      </c>
      <c r="B77" s="2">
        <v>76</v>
      </c>
      <c r="C77" s="2" t="s">
        <v>166</v>
      </c>
      <c r="D77" s="2">
        <v>18</v>
      </c>
      <c r="E77" s="2" t="str" cm="1">
        <f t="array" ref="E77">_xlfn.IFS(D77&gt;=60,"Senior",D77&gt;=23,"Adult",D77&gt;=18,"Teenager")</f>
        <v>Teenager</v>
      </c>
      <c r="F77" s="2" t="s">
        <v>9</v>
      </c>
      <c r="G77" s="3">
        <v>45955</v>
      </c>
      <c r="H77" s="3">
        <v>45360</v>
      </c>
      <c r="I77" s="2" t="s">
        <v>167</v>
      </c>
      <c r="J77" s="2" t="s">
        <v>16</v>
      </c>
      <c r="K77" s="2">
        <v>283.3</v>
      </c>
      <c r="L77" s="2" t="s">
        <v>12</v>
      </c>
      <c r="M77">
        <f t="shared" si="1"/>
        <v>0.53589743589743588</v>
      </c>
    </row>
    <row r="78" spans="1:13" x14ac:dyDescent="0.35">
      <c r="A78" s="2">
        <v>1025</v>
      </c>
      <c r="B78" s="2">
        <v>77</v>
      </c>
      <c r="C78" s="2" t="s">
        <v>168</v>
      </c>
      <c r="D78" s="2">
        <v>25</v>
      </c>
      <c r="E78" s="2" t="str" cm="1">
        <f t="array" ref="E78">_xlfn.IFS(D78&gt;=60,"Senior",D78&gt;=23,"Adult",D78&gt;=18,"Teenager")</f>
        <v>Adult</v>
      </c>
      <c r="F78" s="2" t="s">
        <v>14</v>
      </c>
      <c r="G78" s="3">
        <v>45938</v>
      </c>
      <c r="H78" s="3">
        <v>45740</v>
      </c>
      <c r="I78" s="2" t="s">
        <v>169</v>
      </c>
      <c r="J78" s="2" t="s">
        <v>33</v>
      </c>
      <c r="K78" s="2">
        <v>23839.68</v>
      </c>
      <c r="L78" s="2" t="s">
        <v>12</v>
      </c>
      <c r="M78">
        <f t="shared" si="1"/>
        <v>0.53727506426735216</v>
      </c>
    </row>
    <row r="79" spans="1:13" x14ac:dyDescent="0.35">
      <c r="A79" s="2">
        <v>1000</v>
      </c>
      <c r="B79" s="2">
        <v>78</v>
      </c>
      <c r="C79" s="2" t="s">
        <v>170</v>
      </c>
      <c r="D79" s="2">
        <v>81</v>
      </c>
      <c r="E79" s="2" t="str" cm="1">
        <f t="array" ref="E79">_xlfn.IFS(D79&gt;=60,"Senior",D79&gt;=23,"Adult",D79&gt;=18,"Teenager")</f>
        <v>Senior</v>
      </c>
      <c r="F79" s="2" t="s">
        <v>9</v>
      </c>
      <c r="G79" s="3">
        <v>45956</v>
      </c>
      <c r="H79" s="3">
        <v>45707</v>
      </c>
      <c r="I79" s="2" t="s">
        <v>171</v>
      </c>
      <c r="J79" s="2" t="s">
        <v>11</v>
      </c>
      <c r="K79" s="2">
        <v>6245.76</v>
      </c>
      <c r="L79" s="2" t="s">
        <v>19</v>
      </c>
      <c r="M79">
        <f t="shared" si="1"/>
        <v>0.53865979381443296</v>
      </c>
    </row>
    <row r="80" spans="1:13" x14ac:dyDescent="0.35">
      <c r="A80" s="2">
        <v>1078</v>
      </c>
      <c r="B80" s="2">
        <v>79</v>
      </c>
      <c r="C80" s="2" t="s">
        <v>172</v>
      </c>
      <c r="D80" s="2">
        <v>54</v>
      </c>
      <c r="E80" s="2" t="str" cm="1">
        <f t="array" ref="E80">_xlfn.IFS(D80&gt;=60,"Senior",D80&gt;=23,"Adult",D80&gt;=18,"Teenager")</f>
        <v>Adult</v>
      </c>
      <c r="F80" s="2" t="s">
        <v>9</v>
      </c>
      <c r="G80" s="3">
        <v>45867</v>
      </c>
      <c r="H80" s="3">
        <v>45449</v>
      </c>
      <c r="I80" s="2" t="s">
        <v>173</v>
      </c>
      <c r="J80" s="2" t="s">
        <v>16</v>
      </c>
      <c r="K80" s="2">
        <v>433.77</v>
      </c>
      <c r="L80" s="2" t="s">
        <v>12</v>
      </c>
      <c r="M80">
        <f t="shared" si="1"/>
        <v>0.53746770025839796</v>
      </c>
    </row>
    <row r="81" spans="1:13" x14ac:dyDescent="0.35">
      <c r="A81" s="2">
        <v>1038</v>
      </c>
      <c r="B81" s="2">
        <v>80</v>
      </c>
      <c r="C81" s="2" t="s">
        <v>174</v>
      </c>
      <c r="D81" s="2">
        <v>79</v>
      </c>
      <c r="E81" s="2" t="str" cm="1">
        <f t="array" ref="E81">_xlfn.IFS(D81&gt;=60,"Senior",D81&gt;=23,"Adult",D81&gt;=18,"Teenager")</f>
        <v>Senior</v>
      </c>
      <c r="F81" s="2" t="s">
        <v>9</v>
      </c>
      <c r="G81" s="3">
        <v>45790</v>
      </c>
      <c r="H81" s="3">
        <v>45537</v>
      </c>
      <c r="I81" s="2" t="s">
        <v>175</v>
      </c>
      <c r="J81" s="2" t="s">
        <v>33</v>
      </c>
      <c r="K81" s="2">
        <v>7952.64</v>
      </c>
      <c r="L81" s="2" t="s">
        <v>12</v>
      </c>
      <c r="M81">
        <f t="shared" si="1"/>
        <v>0.53886010362694303</v>
      </c>
    </row>
    <row r="82" spans="1:13" x14ac:dyDescent="0.35">
      <c r="A82" s="2">
        <v>1048</v>
      </c>
      <c r="B82" s="2">
        <v>81</v>
      </c>
      <c r="C82" s="2" t="s">
        <v>176</v>
      </c>
      <c r="D82" s="2">
        <v>77</v>
      </c>
      <c r="E82" s="2" t="str" cm="1">
        <f t="array" ref="E82">_xlfn.IFS(D82&gt;=60,"Senior",D82&gt;=23,"Adult",D82&gt;=18,"Teenager")</f>
        <v>Senior</v>
      </c>
      <c r="F82" s="2" t="s">
        <v>9</v>
      </c>
      <c r="G82" s="3">
        <v>45951</v>
      </c>
      <c r="H82" s="3">
        <v>45491</v>
      </c>
      <c r="I82" s="2" t="s">
        <v>177</v>
      </c>
      <c r="J82" s="2" t="s">
        <v>11</v>
      </c>
      <c r="K82" s="2">
        <v>280.77</v>
      </c>
      <c r="L82" s="2" t="s">
        <v>12</v>
      </c>
      <c r="M82">
        <f t="shared" si="1"/>
        <v>0.54025974025974022</v>
      </c>
    </row>
    <row r="83" spans="1:13" x14ac:dyDescent="0.35">
      <c r="A83" s="2">
        <v>1035</v>
      </c>
      <c r="B83" s="2">
        <v>82</v>
      </c>
      <c r="C83" s="2" t="s">
        <v>178</v>
      </c>
      <c r="D83" s="2">
        <v>60</v>
      </c>
      <c r="E83" s="2" t="str" cm="1">
        <f t="array" ref="E83">_xlfn.IFS(D83&gt;=60,"Senior",D83&gt;=23,"Adult",D83&gt;=18,"Teenager")</f>
        <v>Senior</v>
      </c>
      <c r="F83" s="2" t="s">
        <v>14</v>
      </c>
      <c r="G83" s="3">
        <v>45974</v>
      </c>
      <c r="H83" s="3">
        <v>45831</v>
      </c>
      <c r="I83" s="2" t="s">
        <v>179</v>
      </c>
      <c r="J83" s="2" t="s">
        <v>26</v>
      </c>
      <c r="K83" s="2">
        <v>9522.24</v>
      </c>
      <c r="L83" s="2" t="s">
        <v>12</v>
      </c>
      <c r="M83">
        <f t="shared" si="1"/>
        <v>0.54166666666666663</v>
      </c>
    </row>
    <row r="84" spans="1:13" x14ac:dyDescent="0.35">
      <c r="A84" s="2">
        <v>1010</v>
      </c>
      <c r="B84" s="2">
        <v>83</v>
      </c>
      <c r="C84" s="2" t="s">
        <v>180</v>
      </c>
      <c r="D84" s="2">
        <v>57</v>
      </c>
      <c r="E84" s="2" t="str" cm="1">
        <f t="array" ref="E84">_xlfn.IFS(D84&gt;=60,"Senior",D84&gt;=23,"Adult",D84&gt;=18,"Teenager")</f>
        <v>Adult</v>
      </c>
      <c r="F84" s="2" t="s">
        <v>14</v>
      </c>
      <c r="G84" s="3">
        <v>45802</v>
      </c>
      <c r="H84" s="3">
        <v>45744</v>
      </c>
      <c r="I84" s="2" t="s">
        <v>181</v>
      </c>
      <c r="J84" s="2" t="s">
        <v>11</v>
      </c>
      <c r="K84" s="2">
        <v>21679.68</v>
      </c>
      <c r="L84" s="2" t="s">
        <v>19</v>
      </c>
      <c r="M84">
        <f t="shared" si="1"/>
        <v>0.54308093994778073</v>
      </c>
    </row>
    <row r="85" spans="1:13" x14ac:dyDescent="0.35">
      <c r="A85" s="2">
        <v>1043</v>
      </c>
      <c r="B85" s="2">
        <v>84</v>
      </c>
      <c r="C85" s="2" t="s">
        <v>182</v>
      </c>
      <c r="D85" s="2">
        <v>69</v>
      </c>
      <c r="E85" s="2" t="str" cm="1">
        <f t="array" ref="E85">_xlfn.IFS(D85&gt;=60,"Senior",D85&gt;=23,"Adult",D85&gt;=18,"Teenager")</f>
        <v>Senior</v>
      </c>
      <c r="F85" s="2" t="s">
        <v>14</v>
      </c>
      <c r="G85" s="3">
        <v>45783</v>
      </c>
      <c r="H85" s="3">
        <v>45563</v>
      </c>
      <c r="I85" s="2" t="s">
        <v>183</v>
      </c>
      <c r="J85" s="2" t="s">
        <v>26</v>
      </c>
      <c r="K85" s="2">
        <v>43979.519999999997</v>
      </c>
      <c r="L85" s="2" t="s">
        <v>19</v>
      </c>
      <c r="M85">
        <f t="shared" si="1"/>
        <v>0.54188481675392675</v>
      </c>
    </row>
    <row r="86" spans="1:13" x14ac:dyDescent="0.35">
      <c r="A86" s="2">
        <v>1015</v>
      </c>
      <c r="B86" s="2">
        <v>85</v>
      </c>
      <c r="C86" s="2" t="s">
        <v>184</v>
      </c>
      <c r="D86" s="2">
        <v>43</v>
      </c>
      <c r="E86" s="2" t="str" cm="1">
        <f t="array" ref="E86">_xlfn.IFS(D86&gt;=60,"Senior",D86&gt;=23,"Adult",D86&gt;=18,"Teenager")</f>
        <v>Adult</v>
      </c>
      <c r="F86" s="2" t="s">
        <v>9</v>
      </c>
      <c r="G86" s="3">
        <v>45987</v>
      </c>
      <c r="H86" s="3">
        <v>45894</v>
      </c>
      <c r="I86" s="2" t="s">
        <v>185</v>
      </c>
      <c r="J86" s="2" t="s">
        <v>16</v>
      </c>
      <c r="K86" s="2">
        <v>425.67</v>
      </c>
      <c r="L86" s="2" t="s">
        <v>19</v>
      </c>
      <c r="M86">
        <f t="shared" si="1"/>
        <v>0.54068241469816269</v>
      </c>
    </row>
    <row r="87" spans="1:13" x14ac:dyDescent="0.35">
      <c r="A87" s="2">
        <v>1033</v>
      </c>
      <c r="B87" s="2">
        <v>86</v>
      </c>
      <c r="C87" s="2" t="s">
        <v>186</v>
      </c>
      <c r="D87" s="2">
        <v>87</v>
      </c>
      <c r="E87" s="2" t="str" cm="1">
        <f t="array" ref="E87">_xlfn.IFS(D87&gt;=60,"Senior",D87&gt;=23,"Adult",D87&gt;=18,"Teenager")</f>
        <v>Senior</v>
      </c>
      <c r="F87" s="2" t="s">
        <v>9</v>
      </c>
      <c r="G87" s="3">
        <v>45812</v>
      </c>
      <c r="H87" s="3">
        <v>45330</v>
      </c>
      <c r="I87" s="2" t="s">
        <v>187</v>
      </c>
      <c r="J87" s="2" t="s">
        <v>33</v>
      </c>
      <c r="K87" s="2">
        <v>42821.760000000002</v>
      </c>
      <c r="L87" s="2" t="s">
        <v>12</v>
      </c>
      <c r="M87">
        <f t="shared" si="1"/>
        <v>0.53947368421052633</v>
      </c>
    </row>
    <row r="88" spans="1:13" x14ac:dyDescent="0.35">
      <c r="A88" s="2">
        <v>1077</v>
      </c>
      <c r="B88" s="2">
        <v>87</v>
      </c>
      <c r="C88" s="2" t="s">
        <v>188</v>
      </c>
      <c r="D88" s="2">
        <v>83</v>
      </c>
      <c r="E88" s="2" t="str" cm="1">
        <f t="array" ref="E88">_xlfn.IFS(D88&gt;=60,"Senior",D88&gt;=23,"Adult",D88&gt;=18,"Teenager")</f>
        <v>Senior</v>
      </c>
      <c r="F88" s="2" t="s">
        <v>14</v>
      </c>
      <c r="G88" s="3">
        <v>45790</v>
      </c>
      <c r="H88" s="3">
        <v>45716</v>
      </c>
      <c r="I88" s="2" t="s">
        <v>52</v>
      </c>
      <c r="J88" s="2" t="s">
        <v>11</v>
      </c>
      <c r="K88" s="2">
        <v>69.97</v>
      </c>
      <c r="L88" s="2" t="s">
        <v>19</v>
      </c>
      <c r="M88">
        <f t="shared" si="1"/>
        <v>0.54089709762532978</v>
      </c>
    </row>
    <row r="89" spans="1:13" x14ac:dyDescent="0.35">
      <c r="A89" s="2">
        <v>1068</v>
      </c>
      <c r="B89" s="2">
        <v>88</v>
      </c>
      <c r="C89" s="2" t="s">
        <v>189</v>
      </c>
      <c r="D89" s="2">
        <v>29</v>
      </c>
      <c r="E89" s="2" t="str" cm="1">
        <f t="array" ref="E89">_xlfn.IFS(D89&gt;=60,"Senior",D89&gt;=23,"Adult",D89&gt;=18,"Teenager")</f>
        <v>Adult</v>
      </c>
      <c r="F89" s="2" t="s">
        <v>14</v>
      </c>
      <c r="G89" s="3">
        <v>45804</v>
      </c>
      <c r="H89" s="3">
        <v>45588</v>
      </c>
      <c r="I89" s="2" t="s">
        <v>190</v>
      </c>
      <c r="J89" s="2" t="s">
        <v>11</v>
      </c>
      <c r="K89" s="2">
        <v>41197.440000000002</v>
      </c>
      <c r="L89" s="2" t="s">
        <v>19</v>
      </c>
      <c r="M89">
        <f t="shared" si="1"/>
        <v>0.53968253968253965</v>
      </c>
    </row>
    <row r="90" spans="1:13" x14ac:dyDescent="0.35">
      <c r="A90" s="2">
        <v>1013</v>
      </c>
      <c r="B90" s="2">
        <v>89</v>
      </c>
      <c r="C90" s="2" t="s">
        <v>191</v>
      </c>
      <c r="D90" s="2">
        <v>25</v>
      </c>
      <c r="E90" s="2" t="str" cm="1">
        <f t="array" ref="E90">_xlfn.IFS(D90&gt;=60,"Senior",D90&gt;=23,"Adult",D90&gt;=18,"Teenager")</f>
        <v>Adult</v>
      </c>
      <c r="F90" s="2" t="s">
        <v>14</v>
      </c>
      <c r="G90" s="3">
        <v>45962</v>
      </c>
      <c r="H90" s="3">
        <v>45502</v>
      </c>
      <c r="I90" s="2" t="s">
        <v>192</v>
      </c>
      <c r="J90" s="2" t="s">
        <v>33</v>
      </c>
      <c r="K90" s="2">
        <v>93.12</v>
      </c>
      <c r="L90" s="2" t="s">
        <v>12</v>
      </c>
      <c r="M90">
        <f t="shared" si="1"/>
        <v>0.53846153846153844</v>
      </c>
    </row>
    <row r="91" spans="1:13" x14ac:dyDescent="0.35">
      <c r="A91" s="2">
        <v>1067</v>
      </c>
      <c r="B91" s="2">
        <v>90</v>
      </c>
      <c r="C91" s="2" t="s">
        <v>193</v>
      </c>
      <c r="D91" s="2">
        <v>85</v>
      </c>
      <c r="E91" s="2" t="str" cm="1">
        <f t="array" ref="E91">_xlfn.IFS(D91&gt;=60,"Senior",D91&gt;=23,"Adult",D91&gt;=18,"Teenager")</f>
        <v>Senior</v>
      </c>
      <c r="F91" s="2" t="s">
        <v>14</v>
      </c>
      <c r="G91" s="3">
        <v>45955</v>
      </c>
      <c r="H91" s="3">
        <v>45709</v>
      </c>
      <c r="I91" s="2" t="s">
        <v>194</v>
      </c>
      <c r="J91" s="2" t="s">
        <v>33</v>
      </c>
      <c r="K91" s="2">
        <v>85.63</v>
      </c>
      <c r="L91" s="2" t="s">
        <v>19</v>
      </c>
      <c r="M91">
        <f t="shared" si="1"/>
        <v>0.53989361702127658</v>
      </c>
    </row>
    <row r="92" spans="1:13" x14ac:dyDescent="0.35">
      <c r="A92" s="2">
        <v>1050</v>
      </c>
      <c r="B92" s="2">
        <v>91</v>
      </c>
      <c r="C92" s="2" t="s">
        <v>195</v>
      </c>
      <c r="D92" s="2">
        <v>32</v>
      </c>
      <c r="E92" s="2" t="str" cm="1">
        <f t="array" ref="E92">_xlfn.IFS(D92&gt;=60,"Senior",D92&gt;=23,"Adult",D92&gt;=18,"Teenager")</f>
        <v>Adult</v>
      </c>
      <c r="F92" s="2" t="s">
        <v>14</v>
      </c>
      <c r="G92" s="3">
        <v>45751</v>
      </c>
      <c r="H92" s="3">
        <v>45428</v>
      </c>
      <c r="I92" s="2" t="s">
        <v>196</v>
      </c>
      <c r="J92" s="2" t="s">
        <v>33</v>
      </c>
      <c r="K92" s="2">
        <v>361.31</v>
      </c>
      <c r="L92" s="2" t="s">
        <v>19</v>
      </c>
      <c r="M92">
        <f t="shared" si="1"/>
        <v>0.53866666666666663</v>
      </c>
    </row>
    <row r="93" spans="1:13" x14ac:dyDescent="0.35">
      <c r="A93" s="2">
        <v>1089</v>
      </c>
      <c r="B93" s="2">
        <v>92</v>
      </c>
      <c r="C93" s="2" t="s">
        <v>197</v>
      </c>
      <c r="D93" s="2">
        <v>48</v>
      </c>
      <c r="E93" s="2" t="str" cm="1">
        <f t="array" ref="E93">_xlfn.IFS(D93&gt;=60,"Senior",D93&gt;=23,"Adult",D93&gt;=18,"Teenager")</f>
        <v>Adult</v>
      </c>
      <c r="F93" s="2" t="s">
        <v>14</v>
      </c>
      <c r="G93" s="3">
        <v>45742</v>
      </c>
      <c r="H93" s="3">
        <v>45629</v>
      </c>
      <c r="I93" s="2" t="s">
        <v>198</v>
      </c>
      <c r="J93" s="2" t="s">
        <v>26</v>
      </c>
      <c r="K93" s="2">
        <v>193.18</v>
      </c>
      <c r="L93" s="2" t="s">
        <v>12</v>
      </c>
      <c r="M93">
        <f t="shared" si="1"/>
        <v>0.53743315508021394</v>
      </c>
    </row>
    <row r="94" spans="1:13" x14ac:dyDescent="0.35">
      <c r="A94" s="2">
        <v>1026</v>
      </c>
      <c r="B94" s="2">
        <v>93</v>
      </c>
      <c r="C94" s="2" t="s">
        <v>199</v>
      </c>
      <c r="D94" s="2">
        <v>87</v>
      </c>
      <c r="E94" s="2" t="str" cm="1">
        <f t="array" ref="E94">_xlfn.IFS(D94&gt;=60,"Senior",D94&gt;=23,"Adult",D94&gt;=18,"Teenager")</f>
        <v>Senior</v>
      </c>
      <c r="F94" s="2" t="s">
        <v>9</v>
      </c>
      <c r="G94" s="3">
        <v>46059</v>
      </c>
      <c r="H94" s="3">
        <v>45515</v>
      </c>
      <c r="I94" s="2" t="s">
        <v>200</v>
      </c>
      <c r="J94" s="2" t="s">
        <v>16</v>
      </c>
      <c r="K94" s="2">
        <v>42858.239999999998</v>
      </c>
      <c r="L94" s="2" t="s">
        <v>19</v>
      </c>
      <c r="M94">
        <f t="shared" si="1"/>
        <v>0.53887399463806973</v>
      </c>
    </row>
    <row r="95" spans="1:13" x14ac:dyDescent="0.35">
      <c r="A95" s="2">
        <v>1059</v>
      </c>
      <c r="B95" s="2">
        <v>94</v>
      </c>
      <c r="C95" s="2" t="s">
        <v>201</v>
      </c>
      <c r="D95" s="2">
        <v>27</v>
      </c>
      <c r="E95" s="2" t="str" cm="1">
        <f t="array" ref="E95">_xlfn.IFS(D95&gt;=60,"Senior",D95&gt;=23,"Adult",D95&gt;=18,"Teenager")</f>
        <v>Adult</v>
      </c>
      <c r="F95" s="2" t="s">
        <v>9</v>
      </c>
      <c r="G95" s="3">
        <v>45892</v>
      </c>
      <c r="H95" s="3">
        <v>45608</v>
      </c>
      <c r="I95" s="2" t="s">
        <v>202</v>
      </c>
      <c r="J95" s="2" t="s">
        <v>11</v>
      </c>
      <c r="K95" s="2">
        <v>15916.8</v>
      </c>
      <c r="L95" s="2" t="s">
        <v>19</v>
      </c>
      <c r="M95">
        <f t="shared" si="1"/>
        <v>0.5376344086021505</v>
      </c>
    </row>
    <row r="96" spans="1:13" x14ac:dyDescent="0.35">
      <c r="A96" s="2">
        <v>1065</v>
      </c>
      <c r="B96" s="2">
        <v>95</v>
      </c>
      <c r="C96" s="2" t="s">
        <v>203</v>
      </c>
      <c r="D96" s="2">
        <v>71</v>
      </c>
      <c r="E96" s="2" t="str" cm="1">
        <f t="array" ref="E96">_xlfn.IFS(D96&gt;=60,"Senior",D96&gt;=23,"Adult",D96&gt;=18,"Teenager")</f>
        <v>Senior</v>
      </c>
      <c r="F96" s="2" t="s">
        <v>9</v>
      </c>
      <c r="G96" s="3">
        <v>46206</v>
      </c>
      <c r="H96" s="3">
        <v>45746</v>
      </c>
      <c r="I96" s="2" t="s">
        <v>204</v>
      </c>
      <c r="J96" s="2" t="s">
        <v>26</v>
      </c>
      <c r="K96" s="2">
        <v>493.59</v>
      </c>
      <c r="L96" s="2" t="s">
        <v>19</v>
      </c>
      <c r="M96">
        <f t="shared" si="1"/>
        <v>0.53638814016172509</v>
      </c>
    </row>
    <row r="97" spans="1:13" x14ac:dyDescent="0.35">
      <c r="A97" s="2">
        <v>1069</v>
      </c>
      <c r="B97" s="2">
        <v>96</v>
      </c>
      <c r="C97" s="2" t="s">
        <v>205</v>
      </c>
      <c r="D97" s="2">
        <v>73</v>
      </c>
      <c r="E97" s="2" t="str" cm="1">
        <f t="array" ref="E97">_xlfn.IFS(D97&gt;=60,"Senior",D97&gt;=23,"Adult",D97&gt;=18,"Teenager")</f>
        <v>Senior</v>
      </c>
      <c r="F97" s="2" t="s">
        <v>9</v>
      </c>
      <c r="G97" s="3">
        <v>46235</v>
      </c>
      <c r="H97" s="3">
        <v>45517</v>
      </c>
      <c r="I97" s="2" t="s">
        <v>206</v>
      </c>
      <c r="J97" s="2" t="s">
        <v>11</v>
      </c>
      <c r="K97" s="2">
        <v>9262.08</v>
      </c>
      <c r="L97" s="2" t="s">
        <v>19</v>
      </c>
      <c r="M97">
        <f t="shared" si="1"/>
        <v>0.53513513513513511</v>
      </c>
    </row>
    <row r="98" spans="1:13" x14ac:dyDescent="0.35">
      <c r="A98" s="2">
        <v>1076</v>
      </c>
      <c r="B98" s="2">
        <v>97</v>
      </c>
      <c r="C98" s="2" t="s">
        <v>207</v>
      </c>
      <c r="D98" s="2">
        <v>21</v>
      </c>
      <c r="E98" s="2" t="str" cm="1">
        <f t="array" ref="E98">_xlfn.IFS(D98&gt;=60,"Senior",D98&gt;=23,"Adult",D98&gt;=18,"Teenager")</f>
        <v>Teenager</v>
      </c>
      <c r="F98" s="2" t="s">
        <v>9</v>
      </c>
      <c r="G98" s="3">
        <v>45949</v>
      </c>
      <c r="H98" s="3">
        <v>45871</v>
      </c>
      <c r="I98" s="2" t="s">
        <v>208</v>
      </c>
      <c r="J98" s="2" t="s">
        <v>33</v>
      </c>
      <c r="K98" s="2">
        <v>330.43</v>
      </c>
      <c r="L98" s="2" t="s">
        <v>19</v>
      </c>
      <c r="M98">
        <f t="shared" si="1"/>
        <v>0.53387533875338755</v>
      </c>
    </row>
    <row r="99" spans="1:13" x14ac:dyDescent="0.35">
      <c r="A99" s="2">
        <v>1083</v>
      </c>
      <c r="B99" s="2">
        <v>98</v>
      </c>
      <c r="C99" s="2" t="s">
        <v>209</v>
      </c>
      <c r="D99" s="2">
        <v>21</v>
      </c>
      <c r="E99" s="2" t="str" cm="1">
        <f t="array" ref="E99">_xlfn.IFS(D99&gt;=60,"Senior",D99&gt;=23,"Adult",D99&gt;=18,"Teenager")</f>
        <v>Teenager</v>
      </c>
      <c r="F99" s="2" t="s">
        <v>9</v>
      </c>
      <c r="G99" s="3">
        <v>45887</v>
      </c>
      <c r="H99" s="3">
        <v>45496</v>
      </c>
      <c r="I99" s="2" t="s">
        <v>210</v>
      </c>
      <c r="J99" s="2" t="s">
        <v>26</v>
      </c>
      <c r="K99" s="2">
        <v>9236.16</v>
      </c>
      <c r="L99" s="2" t="s">
        <v>19</v>
      </c>
      <c r="M99">
        <f t="shared" si="1"/>
        <v>0.53260869565217395</v>
      </c>
    </row>
    <row r="100" spans="1:13" x14ac:dyDescent="0.35">
      <c r="A100" s="2">
        <v>1099</v>
      </c>
      <c r="B100" s="2">
        <v>99</v>
      </c>
      <c r="C100" s="2" t="s">
        <v>211</v>
      </c>
      <c r="D100" s="2">
        <v>23</v>
      </c>
      <c r="E100" s="2" t="str" cm="1">
        <f t="array" ref="E100">_xlfn.IFS(D100&gt;=60,"Senior",D100&gt;=23,"Adult",D100&gt;=18,"Teenager")</f>
        <v>Adult</v>
      </c>
      <c r="F100" s="2" t="s">
        <v>14</v>
      </c>
      <c r="G100" s="3">
        <v>45897</v>
      </c>
      <c r="H100" s="3">
        <v>45539</v>
      </c>
      <c r="I100" s="2" t="s">
        <v>212</v>
      </c>
      <c r="J100" s="2" t="s">
        <v>26</v>
      </c>
      <c r="K100" s="2">
        <v>284.29000000000002</v>
      </c>
      <c r="L100" s="2" t="s">
        <v>12</v>
      </c>
      <c r="M100">
        <f t="shared" si="1"/>
        <v>0.53133514986376018</v>
      </c>
    </row>
    <row r="101" spans="1:13" x14ac:dyDescent="0.35">
      <c r="A101" s="2">
        <v>1018</v>
      </c>
      <c r="B101" s="2">
        <v>100</v>
      </c>
      <c r="C101" s="2" t="s">
        <v>213</v>
      </c>
      <c r="D101" s="2">
        <v>71</v>
      </c>
      <c r="E101" s="2" t="str" cm="1">
        <f t="array" ref="E101">_xlfn.IFS(D101&gt;=60,"Senior",D101&gt;=23,"Adult",D101&gt;=18,"Teenager")</f>
        <v>Senior</v>
      </c>
      <c r="F101" s="2" t="s">
        <v>14</v>
      </c>
      <c r="G101" s="3">
        <v>45794</v>
      </c>
      <c r="H101" s="3">
        <v>45651</v>
      </c>
      <c r="I101" s="2" t="s">
        <v>214</v>
      </c>
      <c r="J101" s="2" t="s">
        <v>16</v>
      </c>
      <c r="K101" s="2">
        <v>132.38</v>
      </c>
      <c r="L101" s="2" t="s">
        <v>19</v>
      </c>
      <c r="M101">
        <f t="shared" si="1"/>
        <v>0.53278688524590168</v>
      </c>
    </row>
    <row r="102" spans="1:13" x14ac:dyDescent="0.35">
      <c r="A102" s="2">
        <v>1067</v>
      </c>
      <c r="B102" s="2">
        <v>101</v>
      </c>
      <c r="C102" s="2" t="s">
        <v>215</v>
      </c>
      <c r="D102" s="2">
        <v>33</v>
      </c>
      <c r="E102" s="2" t="str" cm="1">
        <f t="array" ref="E102">_xlfn.IFS(D102&gt;=60,"Senior",D102&gt;=23,"Adult",D102&gt;=18,"Teenager")</f>
        <v>Adult</v>
      </c>
      <c r="F102" s="2" t="s">
        <v>9</v>
      </c>
      <c r="G102" s="3">
        <v>46020</v>
      </c>
      <c r="H102" s="3">
        <v>45441</v>
      </c>
      <c r="I102" s="2" t="s">
        <v>216</v>
      </c>
      <c r="J102" s="2" t="s">
        <v>11</v>
      </c>
      <c r="K102" s="2">
        <v>39356.160000000003</v>
      </c>
      <c r="L102" s="2" t="s">
        <v>12</v>
      </c>
      <c r="M102">
        <f t="shared" si="1"/>
        <v>0.53150684931506853</v>
      </c>
    </row>
    <row r="103" spans="1:13" x14ac:dyDescent="0.35">
      <c r="A103" s="2">
        <v>1097</v>
      </c>
      <c r="B103" s="2">
        <v>102</v>
      </c>
      <c r="C103" s="2" t="s">
        <v>217</v>
      </c>
      <c r="D103" s="2">
        <v>52</v>
      </c>
      <c r="E103" s="2" t="str" cm="1">
        <f t="array" ref="E103">_xlfn.IFS(D103&gt;=60,"Senior",D103&gt;=23,"Adult",D103&gt;=18,"Teenager")</f>
        <v>Adult</v>
      </c>
      <c r="F103" s="2" t="s">
        <v>14</v>
      </c>
      <c r="G103" s="3">
        <v>46031</v>
      </c>
      <c r="H103" s="3">
        <v>45816</v>
      </c>
      <c r="I103" s="2" t="s">
        <v>218</v>
      </c>
      <c r="J103" s="2" t="s">
        <v>16</v>
      </c>
      <c r="K103" s="2">
        <v>243.94</v>
      </c>
      <c r="L103" s="2" t="s">
        <v>19</v>
      </c>
      <c r="M103">
        <f t="shared" si="1"/>
        <v>0.53296703296703296</v>
      </c>
    </row>
    <row r="104" spans="1:13" x14ac:dyDescent="0.35">
      <c r="A104" s="2">
        <v>1056</v>
      </c>
      <c r="B104" s="2">
        <v>103</v>
      </c>
      <c r="C104" s="2" t="s">
        <v>219</v>
      </c>
      <c r="D104" s="2">
        <v>70</v>
      </c>
      <c r="E104" s="2" t="str" cm="1">
        <f t="array" ref="E104">_xlfn.IFS(D104&gt;=60,"Senior",D104&gt;=23,"Adult",D104&gt;=18,"Teenager")</f>
        <v>Senior</v>
      </c>
      <c r="F104" s="2" t="s">
        <v>9</v>
      </c>
      <c r="G104" s="3">
        <v>46017</v>
      </c>
      <c r="H104" s="3">
        <v>45882</v>
      </c>
      <c r="I104" s="2" t="s">
        <v>220</v>
      </c>
      <c r="J104" s="2" t="s">
        <v>11</v>
      </c>
      <c r="K104" s="2">
        <v>35023.68</v>
      </c>
      <c r="L104" s="2" t="s">
        <v>19</v>
      </c>
      <c r="M104">
        <f t="shared" si="1"/>
        <v>0.5316804407713499</v>
      </c>
    </row>
    <row r="105" spans="1:13" x14ac:dyDescent="0.35">
      <c r="A105" s="2">
        <v>1078</v>
      </c>
      <c r="B105" s="2">
        <v>104</v>
      </c>
      <c r="C105" s="2" t="s">
        <v>221</v>
      </c>
      <c r="D105" s="2">
        <v>56</v>
      </c>
      <c r="E105" s="2" t="str" cm="1">
        <f t="array" ref="E105">_xlfn.IFS(D105&gt;=60,"Senior",D105&gt;=23,"Adult",D105&gt;=18,"Teenager")</f>
        <v>Adult</v>
      </c>
      <c r="F105" s="2" t="s">
        <v>9</v>
      </c>
      <c r="G105" s="3">
        <v>45743</v>
      </c>
      <c r="H105" s="3">
        <v>45432</v>
      </c>
      <c r="I105" s="2" t="s">
        <v>222</v>
      </c>
      <c r="J105" s="2" t="s">
        <v>33</v>
      </c>
      <c r="K105" s="2">
        <v>32251.200000000001</v>
      </c>
      <c r="L105" s="2" t="s">
        <v>19</v>
      </c>
      <c r="M105">
        <f t="shared" si="1"/>
        <v>0.53038674033149169</v>
      </c>
    </row>
    <row r="106" spans="1:13" x14ac:dyDescent="0.35">
      <c r="A106" s="2">
        <v>1079</v>
      </c>
      <c r="B106" s="2">
        <v>105</v>
      </c>
      <c r="C106" s="2" t="s">
        <v>223</v>
      </c>
      <c r="D106" s="2">
        <v>24</v>
      </c>
      <c r="E106" s="2" t="str" cm="1">
        <f t="array" ref="E106">_xlfn.IFS(D106&gt;=60,"Senior",D106&gt;=23,"Adult",D106&gt;=18,"Teenager")</f>
        <v>Adult</v>
      </c>
      <c r="F106" s="2" t="s">
        <v>14</v>
      </c>
      <c r="G106" s="3">
        <v>46038</v>
      </c>
      <c r="H106" s="3">
        <v>45402</v>
      </c>
      <c r="I106" s="2" t="s">
        <v>224</v>
      </c>
      <c r="J106" s="2" t="s">
        <v>26</v>
      </c>
      <c r="K106" s="2">
        <v>360.39</v>
      </c>
      <c r="L106" s="2" t="s">
        <v>12</v>
      </c>
      <c r="M106">
        <f t="shared" si="1"/>
        <v>0.52908587257617734</v>
      </c>
    </row>
    <row r="107" spans="1:13" x14ac:dyDescent="0.35">
      <c r="A107" s="2">
        <v>1054</v>
      </c>
      <c r="B107" s="2">
        <v>106</v>
      </c>
      <c r="C107" s="2" t="s">
        <v>225</v>
      </c>
      <c r="D107" s="2">
        <v>74</v>
      </c>
      <c r="E107" s="2" t="str" cm="1">
        <f t="array" ref="E107">_xlfn.IFS(D107&gt;=60,"Senior",D107&gt;=23,"Adult",D107&gt;=18,"Teenager")</f>
        <v>Senior</v>
      </c>
      <c r="F107" s="2" t="s">
        <v>9</v>
      </c>
      <c r="G107" s="3">
        <v>46068</v>
      </c>
      <c r="H107" s="3">
        <v>45807</v>
      </c>
      <c r="I107" s="2" t="s">
        <v>226</v>
      </c>
      <c r="J107" s="2" t="s">
        <v>16</v>
      </c>
      <c r="K107" s="2">
        <v>277.60000000000002</v>
      </c>
      <c r="L107" s="2" t="s">
        <v>12</v>
      </c>
      <c r="M107">
        <f t="shared" si="1"/>
        <v>0.53055555555555556</v>
      </c>
    </row>
    <row r="108" spans="1:13" x14ac:dyDescent="0.35">
      <c r="A108" s="2">
        <v>1026</v>
      </c>
      <c r="B108" s="2">
        <v>107</v>
      </c>
      <c r="C108" s="2" t="s">
        <v>227</v>
      </c>
      <c r="D108" s="2">
        <v>80</v>
      </c>
      <c r="E108" s="2" t="str" cm="1">
        <f t="array" ref="E108">_xlfn.IFS(D108&gt;=60,"Senior",D108&gt;=23,"Adult",D108&gt;=18,"Teenager")</f>
        <v>Senior</v>
      </c>
      <c r="F108" s="2" t="s">
        <v>14</v>
      </c>
      <c r="G108" s="3">
        <v>45774</v>
      </c>
      <c r="H108" s="3">
        <v>45739</v>
      </c>
      <c r="I108" s="2" t="s">
        <v>228</v>
      </c>
      <c r="J108" s="2" t="s">
        <v>11</v>
      </c>
      <c r="K108" s="2">
        <v>301.11</v>
      </c>
      <c r="L108" s="2" t="s">
        <v>19</v>
      </c>
      <c r="M108">
        <f t="shared" si="1"/>
        <v>0.53203342618384397</v>
      </c>
    </row>
    <row r="109" spans="1:13" x14ac:dyDescent="0.35">
      <c r="A109" s="2">
        <v>1060</v>
      </c>
      <c r="B109" s="2">
        <v>108</v>
      </c>
      <c r="C109" s="2" t="s">
        <v>229</v>
      </c>
      <c r="D109" s="2">
        <v>51</v>
      </c>
      <c r="E109" s="2" t="str" cm="1">
        <f t="array" ref="E109">_xlfn.IFS(D109&gt;=60,"Senior",D109&gt;=23,"Adult",D109&gt;=18,"Teenager")</f>
        <v>Adult</v>
      </c>
      <c r="F109" s="2" t="s">
        <v>9</v>
      </c>
      <c r="G109" s="3">
        <v>45844</v>
      </c>
      <c r="H109" s="3">
        <v>45765</v>
      </c>
      <c r="I109" s="2" t="s">
        <v>230</v>
      </c>
      <c r="J109" s="2" t="s">
        <v>11</v>
      </c>
      <c r="K109" s="2">
        <v>433.55</v>
      </c>
      <c r="L109" s="2" t="s">
        <v>19</v>
      </c>
      <c r="M109">
        <f t="shared" si="1"/>
        <v>0.53072625698324027</v>
      </c>
    </row>
    <row r="110" spans="1:13" x14ac:dyDescent="0.35">
      <c r="A110" s="2">
        <v>1022</v>
      </c>
      <c r="B110" s="2">
        <v>109</v>
      </c>
      <c r="C110" s="2" t="s">
        <v>231</v>
      </c>
      <c r="D110" s="2">
        <v>24</v>
      </c>
      <c r="E110" s="2" t="str" cm="1">
        <f t="array" ref="E110">_xlfn.IFS(D110&gt;=60,"Senior",D110&gt;=23,"Adult",D110&gt;=18,"Teenager")</f>
        <v>Adult</v>
      </c>
      <c r="F110" s="2" t="s">
        <v>9</v>
      </c>
      <c r="G110" s="3">
        <v>45888</v>
      </c>
      <c r="H110" s="3">
        <v>45787</v>
      </c>
      <c r="I110" s="2" t="s">
        <v>232</v>
      </c>
      <c r="J110" s="2" t="s">
        <v>16</v>
      </c>
      <c r="K110" s="2">
        <v>40887.360000000001</v>
      </c>
      <c r="L110" s="2" t="s">
        <v>19</v>
      </c>
      <c r="M110">
        <f t="shared" si="1"/>
        <v>0.52941176470588236</v>
      </c>
    </row>
    <row r="111" spans="1:13" x14ac:dyDescent="0.35">
      <c r="A111" s="2">
        <v>1016</v>
      </c>
      <c r="B111" s="2">
        <v>110</v>
      </c>
      <c r="C111" s="2" t="s">
        <v>233</v>
      </c>
      <c r="D111" s="2">
        <v>36</v>
      </c>
      <c r="E111" s="2" t="str" cm="1">
        <f t="array" ref="E111">_xlfn.IFS(D111&gt;=60,"Senior",D111&gt;=23,"Adult",D111&gt;=18,"Teenager")</f>
        <v>Adult</v>
      </c>
      <c r="F111" s="2" t="s">
        <v>9</v>
      </c>
      <c r="G111" s="3">
        <v>45996</v>
      </c>
      <c r="H111" s="3">
        <v>45458</v>
      </c>
      <c r="I111" s="2" t="s">
        <v>234</v>
      </c>
      <c r="J111" s="2" t="s">
        <v>16</v>
      </c>
      <c r="K111" s="2">
        <v>10425.6</v>
      </c>
      <c r="L111" s="2" t="s">
        <v>12</v>
      </c>
      <c r="M111">
        <f t="shared" si="1"/>
        <v>0.5280898876404494</v>
      </c>
    </row>
    <row r="112" spans="1:13" x14ac:dyDescent="0.35">
      <c r="A112" s="2">
        <v>1031</v>
      </c>
      <c r="B112" s="2">
        <v>111</v>
      </c>
      <c r="C112" s="2" t="s">
        <v>235</v>
      </c>
      <c r="D112" s="2">
        <v>42</v>
      </c>
      <c r="E112" s="2" t="str" cm="1">
        <f t="array" ref="E112">_xlfn.IFS(D112&gt;=60,"Senior",D112&gt;=23,"Adult",D112&gt;=18,"Teenager")</f>
        <v>Adult</v>
      </c>
      <c r="F112" s="2" t="s">
        <v>9</v>
      </c>
      <c r="G112" s="3">
        <v>45874</v>
      </c>
      <c r="H112" s="3">
        <v>45865</v>
      </c>
      <c r="I112" s="2" t="s">
        <v>236</v>
      </c>
      <c r="J112" s="2" t="s">
        <v>33</v>
      </c>
      <c r="K112" s="2">
        <v>132.57</v>
      </c>
      <c r="L112" s="2" t="s">
        <v>12</v>
      </c>
      <c r="M112">
        <f t="shared" si="1"/>
        <v>0.52957746478873235</v>
      </c>
    </row>
    <row r="113" spans="1:13" x14ac:dyDescent="0.35">
      <c r="A113" s="2">
        <v>1062</v>
      </c>
      <c r="B113" s="2">
        <v>112</v>
      </c>
      <c r="C113" s="2" t="s">
        <v>237</v>
      </c>
      <c r="D113" s="2">
        <v>25</v>
      </c>
      <c r="E113" s="2" t="str" cm="1">
        <f t="array" ref="E113">_xlfn.IFS(D113&gt;=60,"Senior",D113&gt;=23,"Adult",D113&gt;=18,"Teenager")</f>
        <v>Adult</v>
      </c>
      <c r="F113" s="2" t="s">
        <v>14</v>
      </c>
      <c r="G113" s="3">
        <v>45936</v>
      </c>
      <c r="H113" s="3">
        <v>45456</v>
      </c>
      <c r="I113" s="2" t="s">
        <v>238</v>
      </c>
      <c r="J113" s="2" t="s">
        <v>26</v>
      </c>
      <c r="K113" s="2">
        <v>464.57</v>
      </c>
      <c r="L113" s="2" t="s">
        <v>12</v>
      </c>
      <c r="M113">
        <f t="shared" si="1"/>
        <v>0.53107344632768361</v>
      </c>
    </row>
    <row r="114" spans="1:13" x14ac:dyDescent="0.35">
      <c r="A114" s="2">
        <v>1056</v>
      </c>
      <c r="B114" s="2">
        <v>113</v>
      </c>
      <c r="C114" s="2" t="s">
        <v>239</v>
      </c>
      <c r="D114" s="2">
        <v>57</v>
      </c>
      <c r="E114" s="2" t="str" cm="1">
        <f t="array" ref="E114">_xlfn.IFS(D114&gt;=60,"Senior",D114&gt;=23,"Adult",D114&gt;=18,"Teenager")</f>
        <v>Adult</v>
      </c>
      <c r="F114" s="2" t="s">
        <v>9</v>
      </c>
      <c r="G114" s="3">
        <v>45828</v>
      </c>
      <c r="H114" s="3">
        <v>45701</v>
      </c>
      <c r="I114" s="2" t="s">
        <v>240</v>
      </c>
      <c r="J114" s="2" t="s">
        <v>16</v>
      </c>
      <c r="K114" s="2">
        <v>17914.560000000001</v>
      </c>
      <c r="L114" s="2" t="s">
        <v>19</v>
      </c>
      <c r="M114">
        <f t="shared" si="1"/>
        <v>0.53257790368271951</v>
      </c>
    </row>
    <row r="115" spans="1:13" x14ac:dyDescent="0.35">
      <c r="A115" s="2">
        <v>1058</v>
      </c>
      <c r="B115" s="2">
        <v>114</v>
      </c>
      <c r="C115" s="2" t="s">
        <v>241</v>
      </c>
      <c r="D115" s="2">
        <v>19</v>
      </c>
      <c r="E115" s="2" t="str" cm="1">
        <f t="array" ref="E115">_xlfn.IFS(D115&gt;=60,"Senior",D115&gt;=23,"Adult",D115&gt;=18,"Teenager")</f>
        <v>Teenager</v>
      </c>
      <c r="F115" s="2" t="s">
        <v>14</v>
      </c>
      <c r="G115" s="3">
        <v>45966</v>
      </c>
      <c r="H115" s="3">
        <v>45749</v>
      </c>
      <c r="I115" s="2" t="s">
        <v>242</v>
      </c>
      <c r="J115" s="2" t="s">
        <v>16</v>
      </c>
      <c r="K115" s="2">
        <v>11202.24</v>
      </c>
      <c r="L115" s="2" t="s">
        <v>19</v>
      </c>
      <c r="M115">
        <f t="shared" si="1"/>
        <v>0.53125</v>
      </c>
    </row>
    <row r="116" spans="1:13" x14ac:dyDescent="0.35">
      <c r="A116" s="2">
        <v>1068</v>
      </c>
      <c r="B116" s="2">
        <v>115</v>
      </c>
      <c r="C116" s="2" t="s">
        <v>243</v>
      </c>
      <c r="D116" s="2">
        <v>61</v>
      </c>
      <c r="E116" s="2" t="str" cm="1">
        <f t="array" ref="E116">_xlfn.IFS(D116&gt;=60,"Senior",D116&gt;=23,"Adult",D116&gt;=18,"Teenager")</f>
        <v>Senior</v>
      </c>
      <c r="F116" s="2" t="s">
        <v>14</v>
      </c>
      <c r="G116" s="3">
        <v>45950</v>
      </c>
      <c r="H116" s="3">
        <v>45876</v>
      </c>
      <c r="I116" s="2" t="s">
        <v>244</v>
      </c>
      <c r="J116" s="2" t="s">
        <v>16</v>
      </c>
      <c r="K116" s="2">
        <v>12430.08</v>
      </c>
      <c r="L116" s="2" t="s">
        <v>12</v>
      </c>
      <c r="M116">
        <f t="shared" si="1"/>
        <v>0.52991452991452992</v>
      </c>
    </row>
    <row r="117" spans="1:13" x14ac:dyDescent="0.35">
      <c r="A117" s="2">
        <v>1015</v>
      </c>
      <c r="B117" s="2">
        <v>116</v>
      </c>
      <c r="C117" s="2" t="s">
        <v>245</v>
      </c>
      <c r="D117" s="2">
        <v>53</v>
      </c>
      <c r="E117" s="2" t="str" cm="1">
        <f t="array" ref="E117">_xlfn.IFS(D117&gt;=60,"Senior",D117&gt;=23,"Adult",D117&gt;=18,"Teenager")</f>
        <v>Adult</v>
      </c>
      <c r="F117" s="2" t="s">
        <v>14</v>
      </c>
      <c r="G117" s="3">
        <v>45768</v>
      </c>
      <c r="H117" s="3">
        <v>45529</v>
      </c>
      <c r="I117" s="2" t="s">
        <v>246</v>
      </c>
      <c r="J117" s="2" t="s">
        <v>11</v>
      </c>
      <c r="K117" s="2">
        <v>299.02999999999997</v>
      </c>
      <c r="L117" s="2" t="s">
        <v>12</v>
      </c>
      <c r="M117">
        <f t="shared" si="1"/>
        <v>0.53142857142857147</v>
      </c>
    </row>
    <row r="118" spans="1:13" x14ac:dyDescent="0.35">
      <c r="A118" s="2">
        <v>1090</v>
      </c>
      <c r="B118" s="2">
        <v>117</v>
      </c>
      <c r="C118" s="2" t="s">
        <v>247</v>
      </c>
      <c r="D118" s="2">
        <v>70</v>
      </c>
      <c r="E118" s="2" t="str" cm="1">
        <f t="array" ref="E118">_xlfn.IFS(D118&gt;=60,"Senior",D118&gt;=23,"Adult",D118&gt;=18,"Teenager")</f>
        <v>Senior</v>
      </c>
      <c r="F118" s="2" t="s">
        <v>9</v>
      </c>
      <c r="G118" s="3">
        <v>46000</v>
      </c>
      <c r="H118" s="3">
        <v>45612</v>
      </c>
      <c r="I118" s="2" t="s">
        <v>248</v>
      </c>
      <c r="J118" s="2" t="s">
        <v>33</v>
      </c>
      <c r="K118" s="2">
        <v>459.66</v>
      </c>
      <c r="L118" s="2" t="s">
        <v>19</v>
      </c>
      <c r="M118">
        <f t="shared" si="1"/>
        <v>0.53295128939828085</v>
      </c>
    </row>
    <row r="119" spans="1:13" x14ac:dyDescent="0.35">
      <c r="A119" s="2">
        <v>1070</v>
      </c>
      <c r="B119" s="2">
        <v>118</v>
      </c>
      <c r="C119" s="2" t="s">
        <v>249</v>
      </c>
      <c r="D119" s="2">
        <v>68</v>
      </c>
      <c r="E119" s="2" t="str" cm="1">
        <f t="array" ref="E119">_xlfn.IFS(D119&gt;=60,"Senior",D119&gt;=23,"Adult",D119&gt;=18,"Teenager")</f>
        <v>Senior</v>
      </c>
      <c r="F119" s="2" t="s">
        <v>9</v>
      </c>
      <c r="G119" s="3">
        <v>45807</v>
      </c>
      <c r="H119" s="3">
        <v>45426</v>
      </c>
      <c r="I119" s="2" t="s">
        <v>250</v>
      </c>
      <c r="J119" s="2" t="s">
        <v>11</v>
      </c>
      <c r="K119" s="2">
        <v>390.97</v>
      </c>
      <c r="L119" s="2" t="s">
        <v>19</v>
      </c>
      <c r="M119">
        <f t="shared" si="1"/>
        <v>0.5316091954022989</v>
      </c>
    </row>
    <row r="120" spans="1:13" x14ac:dyDescent="0.35">
      <c r="A120" s="2">
        <v>1032</v>
      </c>
      <c r="B120" s="2">
        <v>119</v>
      </c>
      <c r="C120" s="2" t="s">
        <v>251</v>
      </c>
      <c r="D120" s="2">
        <v>88</v>
      </c>
      <c r="E120" s="2" t="str" cm="1">
        <f t="array" ref="E120">_xlfn.IFS(D120&gt;=60,"Senior",D120&gt;=23,"Adult",D120&gt;=18,"Teenager")</f>
        <v>Senior</v>
      </c>
      <c r="F120" s="2" t="s">
        <v>14</v>
      </c>
      <c r="G120" s="3">
        <v>46044</v>
      </c>
      <c r="H120" s="3">
        <v>45389</v>
      </c>
      <c r="I120" s="2" t="s">
        <v>252</v>
      </c>
      <c r="J120" s="2" t="s">
        <v>11</v>
      </c>
      <c r="K120" s="2">
        <v>100.2</v>
      </c>
      <c r="L120" s="2" t="s">
        <v>12</v>
      </c>
      <c r="M120">
        <f t="shared" si="1"/>
        <v>0.53025936599423629</v>
      </c>
    </row>
    <row r="121" spans="1:13" x14ac:dyDescent="0.35">
      <c r="A121" s="2">
        <v>1098</v>
      </c>
      <c r="B121" s="2">
        <v>120</v>
      </c>
      <c r="C121" s="2" t="s">
        <v>253</v>
      </c>
      <c r="D121" s="2">
        <v>88</v>
      </c>
      <c r="E121" s="2" t="str" cm="1">
        <f t="array" ref="E121">_xlfn.IFS(D121&gt;=60,"Senior",D121&gt;=23,"Adult",D121&gt;=18,"Teenager")</f>
        <v>Senior</v>
      </c>
      <c r="F121" s="2" t="s">
        <v>9</v>
      </c>
      <c r="G121" s="3">
        <v>46067</v>
      </c>
      <c r="H121" s="3">
        <v>45653</v>
      </c>
      <c r="I121" s="2" t="s">
        <v>254</v>
      </c>
      <c r="J121" s="2" t="s">
        <v>33</v>
      </c>
      <c r="K121" s="2">
        <v>46264.32</v>
      </c>
      <c r="L121" s="2" t="s">
        <v>12</v>
      </c>
      <c r="M121">
        <f t="shared" si="1"/>
        <v>0.53179190751445082</v>
      </c>
    </row>
    <row r="122" spans="1:13" x14ac:dyDescent="0.35">
      <c r="A122" s="2">
        <v>1054</v>
      </c>
      <c r="B122" s="2">
        <v>121</v>
      </c>
      <c r="C122" s="2" t="s">
        <v>255</v>
      </c>
      <c r="D122" s="2">
        <v>82</v>
      </c>
      <c r="E122" s="2" t="str" cm="1">
        <f t="array" ref="E122">_xlfn.IFS(D122&gt;=60,"Senior",D122&gt;=23,"Adult",D122&gt;=18,"Teenager")</f>
        <v>Senior</v>
      </c>
      <c r="F122" s="2" t="s">
        <v>14</v>
      </c>
      <c r="G122" s="3">
        <v>45984</v>
      </c>
      <c r="H122" s="3">
        <v>45633</v>
      </c>
      <c r="I122" s="2" t="s">
        <v>256</v>
      </c>
      <c r="J122" s="2" t="s">
        <v>26</v>
      </c>
      <c r="K122" s="2">
        <v>392.87</v>
      </c>
      <c r="L122" s="2" t="s">
        <v>19</v>
      </c>
      <c r="M122">
        <f t="shared" si="1"/>
        <v>0.53333333333333333</v>
      </c>
    </row>
    <row r="123" spans="1:13" x14ac:dyDescent="0.35">
      <c r="A123" s="2">
        <v>1090</v>
      </c>
      <c r="B123" s="2">
        <v>122</v>
      </c>
      <c r="C123" s="2" t="s">
        <v>257</v>
      </c>
      <c r="D123" s="2">
        <v>55</v>
      </c>
      <c r="E123" s="2" t="str" cm="1">
        <f t="array" ref="E123">_xlfn.IFS(D123&gt;=60,"Senior",D123&gt;=23,"Adult",D123&gt;=18,"Teenager")</f>
        <v>Adult</v>
      </c>
      <c r="F123" s="2" t="s">
        <v>9</v>
      </c>
      <c r="G123" s="3">
        <v>45921</v>
      </c>
      <c r="H123" s="3">
        <v>45461</v>
      </c>
      <c r="I123" s="2" t="s">
        <v>258</v>
      </c>
      <c r="J123" s="2" t="s">
        <v>33</v>
      </c>
      <c r="K123" s="2">
        <v>19431.36</v>
      </c>
      <c r="L123" s="2" t="s">
        <v>12</v>
      </c>
      <c r="M123">
        <f t="shared" si="1"/>
        <v>0.53197674418604646</v>
      </c>
    </row>
    <row r="124" spans="1:13" x14ac:dyDescent="0.35">
      <c r="A124" s="2">
        <v>1027</v>
      </c>
      <c r="B124" s="2">
        <v>123</v>
      </c>
      <c r="C124" s="2" t="s">
        <v>259</v>
      </c>
      <c r="D124" s="2">
        <v>83</v>
      </c>
      <c r="E124" s="2" t="str" cm="1">
        <f t="array" ref="E124">_xlfn.IFS(D124&gt;=60,"Senior",D124&gt;=23,"Adult",D124&gt;=18,"Teenager")</f>
        <v>Senior</v>
      </c>
      <c r="F124" s="2" t="s">
        <v>14</v>
      </c>
      <c r="G124" s="3">
        <v>45834</v>
      </c>
      <c r="H124" s="3">
        <v>45997</v>
      </c>
      <c r="I124" s="2" t="s">
        <v>260</v>
      </c>
      <c r="J124" s="2" t="s">
        <v>16</v>
      </c>
      <c r="K124" s="2">
        <v>21609.599999999999</v>
      </c>
      <c r="L124" s="2" t="s">
        <v>19</v>
      </c>
      <c r="M124">
        <f t="shared" si="1"/>
        <v>0.53352769679300294</v>
      </c>
    </row>
    <row r="125" spans="1:13" x14ac:dyDescent="0.35">
      <c r="A125" s="2">
        <v>1026</v>
      </c>
      <c r="B125" s="2">
        <v>124</v>
      </c>
      <c r="C125" s="2" t="s">
        <v>261</v>
      </c>
      <c r="D125" s="2">
        <v>47</v>
      </c>
      <c r="E125" s="2" t="str" cm="1">
        <f t="array" ref="E125">_xlfn.IFS(D125&gt;=60,"Senior",D125&gt;=23,"Adult",D125&gt;=18,"Teenager")</f>
        <v>Adult</v>
      </c>
      <c r="F125" s="2" t="s">
        <v>9</v>
      </c>
      <c r="G125" s="3">
        <v>46028</v>
      </c>
      <c r="H125" s="3">
        <v>45576</v>
      </c>
      <c r="I125" s="2" t="s">
        <v>262</v>
      </c>
      <c r="J125" s="2" t="s">
        <v>16</v>
      </c>
      <c r="K125" s="2">
        <v>38449.919999999998</v>
      </c>
      <c r="L125" s="2" t="s">
        <v>19</v>
      </c>
      <c r="M125">
        <f t="shared" si="1"/>
        <v>0.53216374269005851</v>
      </c>
    </row>
    <row r="126" spans="1:13" x14ac:dyDescent="0.35">
      <c r="A126" s="2">
        <v>1059</v>
      </c>
      <c r="B126" s="2">
        <v>125</v>
      </c>
      <c r="C126" s="2" t="s">
        <v>263</v>
      </c>
      <c r="D126" s="2">
        <v>32</v>
      </c>
      <c r="E126" s="2" t="str" cm="1">
        <f t="array" ref="E126">_xlfn.IFS(D126&gt;=60,"Senior",D126&gt;=23,"Adult",D126&gt;=18,"Teenager")</f>
        <v>Adult</v>
      </c>
      <c r="F126" s="2" t="s">
        <v>14</v>
      </c>
      <c r="G126" s="3">
        <v>46092</v>
      </c>
      <c r="H126" s="3">
        <v>45861</v>
      </c>
      <c r="I126" s="2" t="s">
        <v>264</v>
      </c>
      <c r="J126" s="2" t="s">
        <v>11</v>
      </c>
      <c r="K126" s="2">
        <v>28868.16</v>
      </c>
      <c r="L126" s="2" t="s">
        <v>19</v>
      </c>
      <c r="M126">
        <f t="shared" si="1"/>
        <v>0.53079178885630496</v>
      </c>
    </row>
    <row r="127" spans="1:13" x14ac:dyDescent="0.35">
      <c r="A127" s="2">
        <v>1040</v>
      </c>
      <c r="B127" s="2">
        <v>126</v>
      </c>
      <c r="C127" s="2" t="s">
        <v>265</v>
      </c>
      <c r="D127" s="2">
        <v>35</v>
      </c>
      <c r="E127" s="2" t="str" cm="1">
        <f t="array" ref="E127">_xlfn.IFS(D127&gt;=60,"Senior",D127&gt;=23,"Adult",D127&gt;=18,"Teenager")</f>
        <v>Adult</v>
      </c>
      <c r="F127" s="2" t="s">
        <v>14</v>
      </c>
      <c r="G127" s="3">
        <v>45888</v>
      </c>
      <c r="H127" s="3">
        <v>45823</v>
      </c>
      <c r="I127" s="2" t="s">
        <v>266</v>
      </c>
      <c r="J127" s="2" t="s">
        <v>11</v>
      </c>
      <c r="K127" s="2">
        <v>458.11</v>
      </c>
      <c r="L127" s="2" t="s">
        <v>12</v>
      </c>
      <c r="M127">
        <f t="shared" si="1"/>
        <v>0.52941176470588236</v>
      </c>
    </row>
    <row r="128" spans="1:13" x14ac:dyDescent="0.35">
      <c r="A128" s="2">
        <v>1003</v>
      </c>
      <c r="B128" s="2">
        <v>127</v>
      </c>
      <c r="C128" s="2" t="s">
        <v>267</v>
      </c>
      <c r="D128" s="2">
        <v>41</v>
      </c>
      <c r="E128" s="2" t="str" cm="1">
        <f t="array" ref="E128">_xlfn.IFS(D128&gt;=60,"Senior",D128&gt;=23,"Adult",D128&gt;=18,"Teenager")</f>
        <v>Adult</v>
      </c>
      <c r="F128" s="2" t="s">
        <v>9</v>
      </c>
      <c r="G128" s="3">
        <v>45791</v>
      </c>
      <c r="H128" s="3">
        <v>45416</v>
      </c>
      <c r="I128" s="2" t="s">
        <v>268</v>
      </c>
      <c r="J128" s="2" t="s">
        <v>11</v>
      </c>
      <c r="K128" s="2">
        <v>398.73</v>
      </c>
      <c r="L128" s="2" t="s">
        <v>12</v>
      </c>
      <c r="M128">
        <f t="shared" si="1"/>
        <v>0.53097345132743368</v>
      </c>
    </row>
    <row r="129" spans="1:13" x14ac:dyDescent="0.35">
      <c r="A129" s="2">
        <v>1029</v>
      </c>
      <c r="B129" s="2">
        <v>128</v>
      </c>
      <c r="C129" s="2" t="s">
        <v>269</v>
      </c>
      <c r="D129" s="2">
        <v>30</v>
      </c>
      <c r="E129" s="2" t="str" cm="1">
        <f t="array" ref="E129">_xlfn.IFS(D129&gt;=60,"Senior",D129&gt;=23,"Adult",D129&gt;=18,"Teenager")</f>
        <v>Adult</v>
      </c>
      <c r="F129" s="2" t="s">
        <v>9</v>
      </c>
      <c r="G129" s="3">
        <v>45857</v>
      </c>
      <c r="H129" s="3">
        <v>45789</v>
      </c>
      <c r="I129" s="2" t="s">
        <v>270</v>
      </c>
      <c r="J129" s="2" t="s">
        <v>33</v>
      </c>
      <c r="K129" s="2">
        <v>43306.559999999998</v>
      </c>
      <c r="L129" s="2" t="s">
        <v>12</v>
      </c>
      <c r="M129">
        <f t="shared" si="1"/>
        <v>0.53254437869822491</v>
      </c>
    </row>
    <row r="130" spans="1:13" x14ac:dyDescent="0.35">
      <c r="A130" s="2">
        <v>1054</v>
      </c>
      <c r="B130" s="2">
        <v>129</v>
      </c>
      <c r="C130" s="2" t="s">
        <v>271</v>
      </c>
      <c r="D130" s="2">
        <v>78</v>
      </c>
      <c r="E130" s="2" t="str" cm="1">
        <f t="array" ref="E130">_xlfn.IFS(D130&gt;=60,"Senior",D130&gt;=23,"Adult",D130&gt;=18,"Teenager")</f>
        <v>Senior</v>
      </c>
      <c r="F130" s="2" t="s">
        <v>14</v>
      </c>
      <c r="G130" s="3">
        <v>46016</v>
      </c>
      <c r="H130" s="3">
        <v>45639</v>
      </c>
      <c r="I130" s="2" t="s">
        <v>272</v>
      </c>
      <c r="J130" s="2" t="s">
        <v>16</v>
      </c>
      <c r="K130" s="2">
        <v>35555.519999999997</v>
      </c>
      <c r="L130" s="2" t="s">
        <v>12</v>
      </c>
      <c r="M130">
        <f t="shared" si="1"/>
        <v>0.53412462908011871</v>
      </c>
    </row>
    <row r="131" spans="1:13" x14ac:dyDescent="0.35">
      <c r="A131" s="2">
        <v>1006</v>
      </c>
      <c r="B131" s="2">
        <v>130</v>
      </c>
      <c r="C131" s="2" t="s">
        <v>273</v>
      </c>
      <c r="D131" s="2">
        <v>63</v>
      </c>
      <c r="E131" s="2" t="str" cm="1">
        <f t="array" ref="E131">_xlfn.IFS(D131&gt;=60,"Senior",D131&gt;=23,"Adult",D131&gt;=18,"Teenager")</f>
        <v>Senior</v>
      </c>
      <c r="F131" s="2" t="s">
        <v>14</v>
      </c>
      <c r="G131" s="3">
        <v>46004</v>
      </c>
      <c r="H131" s="3">
        <v>45721</v>
      </c>
      <c r="I131" s="2" t="s">
        <v>274</v>
      </c>
      <c r="J131" s="2" t="s">
        <v>16</v>
      </c>
      <c r="K131" s="2">
        <v>416.85</v>
      </c>
      <c r="L131" s="2" t="s">
        <v>12</v>
      </c>
      <c r="M131">
        <f t="shared" ref="M131:M194" si="2">COUNTIF(L131:L595,"Yes")/COUNTA(L131:L595)</f>
        <v>0.5357142857142857</v>
      </c>
    </row>
    <row r="132" spans="1:13" x14ac:dyDescent="0.35">
      <c r="A132" s="2">
        <v>1021</v>
      </c>
      <c r="B132" s="2">
        <v>131</v>
      </c>
      <c r="C132" s="2" t="s">
        <v>275</v>
      </c>
      <c r="D132" s="2">
        <v>54</v>
      </c>
      <c r="E132" s="2" t="str" cm="1">
        <f t="array" ref="E132">_xlfn.IFS(D132&gt;=60,"Senior",D132&gt;=23,"Adult",D132&gt;=18,"Teenager")</f>
        <v>Adult</v>
      </c>
      <c r="F132" s="2" t="s">
        <v>14</v>
      </c>
      <c r="G132" s="3">
        <v>45920</v>
      </c>
      <c r="H132" s="3">
        <v>45467</v>
      </c>
      <c r="I132" s="2" t="s">
        <v>276</v>
      </c>
      <c r="J132" s="2" t="s">
        <v>26</v>
      </c>
      <c r="K132" s="2">
        <v>119.4</v>
      </c>
      <c r="L132" s="2" t="s">
        <v>12</v>
      </c>
      <c r="M132">
        <f t="shared" si="2"/>
        <v>0.53731343283582089</v>
      </c>
    </row>
    <row r="133" spans="1:13" x14ac:dyDescent="0.35">
      <c r="A133" s="2">
        <v>1015</v>
      </c>
      <c r="B133" s="2">
        <v>132</v>
      </c>
      <c r="C133" s="2" t="s">
        <v>277</v>
      </c>
      <c r="D133" s="2">
        <v>50</v>
      </c>
      <c r="E133" s="2" t="str" cm="1">
        <f t="array" ref="E133">_xlfn.IFS(D133&gt;=60,"Senior",D133&gt;=23,"Adult",D133&gt;=18,"Teenager")</f>
        <v>Adult</v>
      </c>
      <c r="F133" s="2" t="s">
        <v>9</v>
      </c>
      <c r="G133" s="3">
        <v>45894</v>
      </c>
      <c r="H133" s="3">
        <v>45461</v>
      </c>
      <c r="I133" s="2" t="s">
        <v>278</v>
      </c>
      <c r="J133" s="2" t="s">
        <v>16</v>
      </c>
      <c r="K133" s="2">
        <v>6084.48</v>
      </c>
      <c r="L133" s="2" t="s">
        <v>19</v>
      </c>
      <c r="M133">
        <f t="shared" si="2"/>
        <v>0.53892215568862278</v>
      </c>
    </row>
    <row r="134" spans="1:13" x14ac:dyDescent="0.35">
      <c r="A134" s="2">
        <v>1014</v>
      </c>
      <c r="B134" s="2">
        <v>133</v>
      </c>
      <c r="C134" s="2" t="s">
        <v>279</v>
      </c>
      <c r="D134" s="2">
        <v>79</v>
      </c>
      <c r="E134" s="2" t="str" cm="1">
        <f t="array" ref="E134">_xlfn.IFS(D134&gt;=60,"Senior",D134&gt;=23,"Adult",D134&gt;=18,"Teenager")</f>
        <v>Senior</v>
      </c>
      <c r="F134" s="2" t="s">
        <v>9</v>
      </c>
      <c r="G134" s="3">
        <v>46050</v>
      </c>
      <c r="H134" s="3">
        <v>45385</v>
      </c>
      <c r="I134" s="2" t="s">
        <v>280</v>
      </c>
      <c r="J134" s="2" t="s">
        <v>16</v>
      </c>
      <c r="K134" s="2">
        <v>341.27</v>
      </c>
      <c r="L134" s="2" t="s">
        <v>19</v>
      </c>
      <c r="M134">
        <f t="shared" si="2"/>
        <v>0.53753753753753752</v>
      </c>
    </row>
    <row r="135" spans="1:13" x14ac:dyDescent="0.35">
      <c r="A135" s="2">
        <v>1088</v>
      </c>
      <c r="B135" s="2">
        <v>134</v>
      </c>
      <c r="C135" s="2" t="s">
        <v>281</v>
      </c>
      <c r="D135" s="2">
        <v>83</v>
      </c>
      <c r="E135" s="2" t="str" cm="1">
        <f t="array" ref="E135">_xlfn.IFS(D135&gt;=60,"Senior",D135&gt;=23,"Adult",D135&gt;=18,"Teenager")</f>
        <v>Senior</v>
      </c>
      <c r="F135" s="2" t="s">
        <v>14</v>
      </c>
      <c r="G135" s="3">
        <v>46082</v>
      </c>
      <c r="H135" s="3">
        <v>45647</v>
      </c>
      <c r="I135" s="2" t="s">
        <v>282</v>
      </c>
      <c r="J135" s="2" t="s">
        <v>33</v>
      </c>
      <c r="K135" s="2">
        <v>46386.239999999998</v>
      </c>
      <c r="L135" s="2" t="s">
        <v>19</v>
      </c>
      <c r="M135">
        <f t="shared" si="2"/>
        <v>0.53614457831325302</v>
      </c>
    </row>
    <row r="136" spans="1:13" x14ac:dyDescent="0.35">
      <c r="A136" s="2">
        <v>1011</v>
      </c>
      <c r="B136" s="2">
        <v>135</v>
      </c>
      <c r="C136" s="2" t="s">
        <v>283</v>
      </c>
      <c r="D136" s="2">
        <v>60</v>
      </c>
      <c r="E136" s="2" t="str" cm="1">
        <f t="array" ref="E136">_xlfn.IFS(D136&gt;=60,"Senior",D136&gt;=23,"Adult",D136&gt;=18,"Teenager")</f>
        <v>Senior</v>
      </c>
      <c r="F136" s="2" t="s">
        <v>14</v>
      </c>
      <c r="G136" s="3">
        <v>45830</v>
      </c>
      <c r="H136" s="3">
        <v>45408</v>
      </c>
      <c r="I136" s="2" t="s">
        <v>284</v>
      </c>
      <c r="J136" s="2" t="s">
        <v>26</v>
      </c>
      <c r="K136" s="2">
        <v>125.6</v>
      </c>
      <c r="L136" s="2" t="s">
        <v>12</v>
      </c>
      <c r="M136">
        <f t="shared" si="2"/>
        <v>0.53474320241691842</v>
      </c>
    </row>
    <row r="137" spans="1:13" x14ac:dyDescent="0.35">
      <c r="A137" s="2">
        <v>1043</v>
      </c>
      <c r="B137" s="2">
        <v>136</v>
      </c>
      <c r="C137" s="2" t="s">
        <v>285</v>
      </c>
      <c r="D137" s="2">
        <v>38</v>
      </c>
      <c r="E137" s="2" t="str" cm="1">
        <f t="array" ref="E137">_xlfn.IFS(D137&gt;=60,"Senior",D137&gt;=23,"Adult",D137&gt;=18,"Teenager")</f>
        <v>Adult</v>
      </c>
      <c r="F137" s="2" t="s">
        <v>14</v>
      </c>
      <c r="G137" s="3">
        <v>46047</v>
      </c>
      <c r="H137" s="3">
        <v>45391</v>
      </c>
      <c r="I137" s="2" t="s">
        <v>286</v>
      </c>
      <c r="J137" s="2" t="s">
        <v>16</v>
      </c>
      <c r="K137" s="2">
        <v>40724.160000000003</v>
      </c>
      <c r="L137" s="2" t="s">
        <v>12</v>
      </c>
      <c r="M137">
        <f t="shared" si="2"/>
        <v>0.53636363636363638</v>
      </c>
    </row>
    <row r="138" spans="1:13" x14ac:dyDescent="0.35">
      <c r="A138" s="2">
        <v>1080</v>
      </c>
      <c r="B138" s="2">
        <v>137</v>
      </c>
      <c r="C138" s="2" t="s">
        <v>287</v>
      </c>
      <c r="D138" s="2">
        <v>40</v>
      </c>
      <c r="E138" s="2" t="str" cm="1">
        <f t="array" ref="E138">_xlfn.IFS(D138&gt;=60,"Senior",D138&gt;=23,"Adult",D138&gt;=18,"Teenager")</f>
        <v>Adult</v>
      </c>
      <c r="F138" s="2" t="s">
        <v>14</v>
      </c>
      <c r="G138" s="3">
        <v>45896</v>
      </c>
      <c r="H138" s="3">
        <v>45851</v>
      </c>
      <c r="I138" s="2" t="s">
        <v>288</v>
      </c>
      <c r="J138" s="2" t="s">
        <v>33</v>
      </c>
      <c r="K138" s="2">
        <v>366.15</v>
      </c>
      <c r="L138" s="2" t="s">
        <v>19</v>
      </c>
      <c r="M138">
        <f t="shared" si="2"/>
        <v>0.53799392097264442</v>
      </c>
    </row>
    <row r="139" spans="1:13" x14ac:dyDescent="0.35">
      <c r="A139" s="2">
        <v>1082</v>
      </c>
      <c r="B139" s="2">
        <v>138</v>
      </c>
      <c r="C139" s="2" t="s">
        <v>289</v>
      </c>
      <c r="D139" s="2">
        <v>89</v>
      </c>
      <c r="E139" s="2" t="str" cm="1">
        <f t="array" ref="E139">_xlfn.IFS(D139&gt;=60,"Senior",D139&gt;=23,"Adult",D139&gt;=18,"Teenager")</f>
        <v>Senior</v>
      </c>
      <c r="F139" s="2" t="s">
        <v>14</v>
      </c>
      <c r="G139" s="3">
        <v>45743</v>
      </c>
      <c r="H139" s="3">
        <v>45642</v>
      </c>
      <c r="I139" s="2" t="s">
        <v>290</v>
      </c>
      <c r="J139" s="2" t="s">
        <v>26</v>
      </c>
      <c r="K139" s="2">
        <v>466.92</v>
      </c>
      <c r="L139" s="2" t="s">
        <v>12</v>
      </c>
      <c r="M139">
        <f t="shared" si="2"/>
        <v>0.53658536585365857</v>
      </c>
    </row>
    <row r="140" spans="1:13" x14ac:dyDescent="0.35">
      <c r="A140" s="2">
        <v>1088</v>
      </c>
      <c r="B140" s="2">
        <v>139</v>
      </c>
      <c r="C140" s="2" t="s">
        <v>291</v>
      </c>
      <c r="D140" s="2">
        <v>26</v>
      </c>
      <c r="E140" s="2" t="str" cm="1">
        <f t="array" ref="E140">_xlfn.IFS(D140&gt;=60,"Senior",D140&gt;=23,"Adult",D140&gt;=18,"Teenager")</f>
        <v>Adult</v>
      </c>
      <c r="F140" s="2" t="s">
        <v>9</v>
      </c>
      <c r="G140" s="3">
        <v>46085</v>
      </c>
      <c r="H140" s="3">
        <v>46019</v>
      </c>
      <c r="I140" s="2" t="s">
        <v>292</v>
      </c>
      <c r="J140" s="2" t="s">
        <v>26</v>
      </c>
      <c r="K140" s="2">
        <v>71.67</v>
      </c>
      <c r="L140" s="2" t="s">
        <v>12</v>
      </c>
      <c r="M140">
        <f t="shared" si="2"/>
        <v>0.53822629969418956</v>
      </c>
    </row>
    <row r="141" spans="1:13" x14ac:dyDescent="0.35">
      <c r="A141" s="2">
        <v>1039</v>
      </c>
      <c r="B141" s="2">
        <v>140</v>
      </c>
      <c r="C141" s="2" t="s">
        <v>293</v>
      </c>
      <c r="D141" s="2">
        <v>61</v>
      </c>
      <c r="E141" s="2" t="str" cm="1">
        <f t="array" ref="E141">_xlfn.IFS(D141&gt;=60,"Senior",D141&gt;=23,"Adult",D141&gt;=18,"Teenager")</f>
        <v>Senior</v>
      </c>
      <c r="F141" s="2" t="s">
        <v>9</v>
      </c>
      <c r="G141" s="3">
        <v>45968</v>
      </c>
      <c r="H141" s="3">
        <v>45921</v>
      </c>
      <c r="I141" s="2" t="s">
        <v>294</v>
      </c>
      <c r="J141" s="2" t="s">
        <v>11</v>
      </c>
      <c r="K141" s="2">
        <v>264.27</v>
      </c>
      <c r="L141" s="2" t="s">
        <v>12</v>
      </c>
      <c r="M141">
        <f t="shared" si="2"/>
        <v>0.53987730061349692</v>
      </c>
    </row>
    <row r="142" spans="1:13" x14ac:dyDescent="0.35">
      <c r="A142" s="2">
        <v>1016</v>
      </c>
      <c r="B142" s="2">
        <v>141</v>
      </c>
      <c r="C142" s="2" t="s">
        <v>295</v>
      </c>
      <c r="D142" s="2">
        <v>78</v>
      </c>
      <c r="E142" s="2" t="str" cm="1">
        <f t="array" ref="E142">_xlfn.IFS(D142&gt;=60,"Senior",D142&gt;=23,"Adult",D142&gt;=18,"Teenager")</f>
        <v>Senior</v>
      </c>
      <c r="F142" s="2" t="s">
        <v>9</v>
      </c>
      <c r="G142" s="3">
        <v>45798</v>
      </c>
      <c r="H142" s="3">
        <v>45522</v>
      </c>
      <c r="I142" s="2" t="s">
        <v>296</v>
      </c>
      <c r="J142" s="2" t="s">
        <v>16</v>
      </c>
      <c r="K142" s="2">
        <v>92.45</v>
      </c>
      <c r="L142" s="2" t="s">
        <v>19</v>
      </c>
      <c r="M142">
        <f t="shared" si="2"/>
        <v>0.54153846153846152</v>
      </c>
    </row>
    <row r="143" spans="1:13" x14ac:dyDescent="0.35">
      <c r="A143" s="2">
        <v>1098</v>
      </c>
      <c r="B143" s="2">
        <v>142</v>
      </c>
      <c r="C143" s="2" t="s">
        <v>297</v>
      </c>
      <c r="D143" s="2">
        <v>35</v>
      </c>
      <c r="E143" s="2" t="str" cm="1">
        <f t="array" ref="E143">_xlfn.IFS(D143&gt;=60,"Senior",D143&gt;=23,"Adult",D143&gt;=18,"Teenager")</f>
        <v>Adult</v>
      </c>
      <c r="F143" s="2" t="s">
        <v>14</v>
      </c>
      <c r="G143" s="3">
        <v>46008</v>
      </c>
      <c r="H143" s="3">
        <v>45409</v>
      </c>
      <c r="I143" s="2" t="s">
        <v>298</v>
      </c>
      <c r="J143" s="2" t="s">
        <v>33</v>
      </c>
      <c r="K143" s="2">
        <v>441.33</v>
      </c>
      <c r="L143" s="2" t="s">
        <v>12</v>
      </c>
      <c r="M143">
        <f t="shared" si="2"/>
        <v>0.54012345679012341</v>
      </c>
    </row>
    <row r="144" spans="1:13" x14ac:dyDescent="0.35">
      <c r="A144" s="2">
        <v>1025</v>
      </c>
      <c r="B144" s="2">
        <v>143</v>
      </c>
      <c r="C144" s="2" t="s">
        <v>299</v>
      </c>
      <c r="D144" s="2">
        <v>40</v>
      </c>
      <c r="E144" s="2" t="str" cm="1">
        <f t="array" ref="E144">_xlfn.IFS(D144&gt;=60,"Senior",D144&gt;=23,"Adult",D144&gt;=18,"Teenager")</f>
        <v>Adult</v>
      </c>
      <c r="F144" s="2" t="s">
        <v>14</v>
      </c>
      <c r="G144" s="3">
        <v>45969</v>
      </c>
      <c r="H144" s="3">
        <v>45506</v>
      </c>
      <c r="I144" s="2" t="s">
        <v>300</v>
      </c>
      <c r="J144" s="2" t="s">
        <v>33</v>
      </c>
      <c r="K144" s="2">
        <v>258.77999999999997</v>
      </c>
      <c r="L144" s="2" t="s">
        <v>12</v>
      </c>
      <c r="M144">
        <f t="shared" si="2"/>
        <v>0.54179566563467496</v>
      </c>
    </row>
    <row r="145" spans="1:13" x14ac:dyDescent="0.35">
      <c r="A145" s="2">
        <v>1012</v>
      </c>
      <c r="B145" s="2">
        <v>144</v>
      </c>
      <c r="C145" s="2" t="s">
        <v>301</v>
      </c>
      <c r="D145" s="2">
        <v>59</v>
      </c>
      <c r="E145" s="2" t="str" cm="1">
        <f t="array" ref="E145">_xlfn.IFS(D145&gt;=60,"Senior",D145&gt;=23,"Adult",D145&gt;=18,"Teenager")</f>
        <v>Adult</v>
      </c>
      <c r="F145" s="2" t="s">
        <v>9</v>
      </c>
      <c r="G145" s="3">
        <v>45778</v>
      </c>
      <c r="H145" s="3">
        <v>45567</v>
      </c>
      <c r="I145" s="2" t="s">
        <v>302</v>
      </c>
      <c r="J145" s="2" t="s">
        <v>11</v>
      </c>
      <c r="K145" s="2">
        <v>156.71</v>
      </c>
      <c r="L145" s="2" t="s">
        <v>19</v>
      </c>
      <c r="M145">
        <f t="shared" si="2"/>
        <v>0.54347826086956519</v>
      </c>
    </row>
    <row r="146" spans="1:13" x14ac:dyDescent="0.35">
      <c r="A146" s="2">
        <v>1038</v>
      </c>
      <c r="B146" s="2">
        <v>145</v>
      </c>
      <c r="C146" s="2" t="s">
        <v>303</v>
      </c>
      <c r="D146" s="2">
        <v>57</v>
      </c>
      <c r="E146" s="2" t="str" cm="1">
        <f t="array" ref="E146">_xlfn.IFS(D146&gt;=60,"Senior",D146&gt;=23,"Adult",D146&gt;=18,"Teenager")</f>
        <v>Adult</v>
      </c>
      <c r="F146" s="2" t="s">
        <v>9</v>
      </c>
      <c r="G146" s="3">
        <v>45776</v>
      </c>
      <c r="H146" s="3">
        <v>45398</v>
      </c>
      <c r="I146" s="2" t="s">
        <v>304</v>
      </c>
      <c r="J146" s="2" t="s">
        <v>16</v>
      </c>
      <c r="K146" s="2">
        <v>110.47</v>
      </c>
      <c r="L146" s="2" t="s">
        <v>19</v>
      </c>
      <c r="M146">
        <f t="shared" si="2"/>
        <v>0.54205607476635509</v>
      </c>
    </row>
    <row r="147" spans="1:13" x14ac:dyDescent="0.35">
      <c r="A147" s="2">
        <v>1031</v>
      </c>
      <c r="B147" s="2">
        <v>146</v>
      </c>
      <c r="C147" s="2" t="s">
        <v>305</v>
      </c>
      <c r="D147" s="2">
        <v>40</v>
      </c>
      <c r="E147" s="2" t="str" cm="1">
        <f t="array" ref="E147">_xlfn.IFS(D147&gt;=60,"Senior",D147&gt;=23,"Adult",D147&gt;=18,"Teenager")</f>
        <v>Adult</v>
      </c>
      <c r="F147" s="2" t="s">
        <v>14</v>
      </c>
      <c r="G147" s="3">
        <v>46065</v>
      </c>
      <c r="H147" s="3">
        <v>45394</v>
      </c>
      <c r="I147" s="2" t="s">
        <v>306</v>
      </c>
      <c r="J147" s="2" t="s">
        <v>16</v>
      </c>
      <c r="K147" s="2">
        <v>34975.68</v>
      </c>
      <c r="L147" s="2" t="s">
        <v>12</v>
      </c>
      <c r="M147">
        <f t="shared" si="2"/>
        <v>0.54062500000000002</v>
      </c>
    </row>
    <row r="148" spans="1:13" x14ac:dyDescent="0.35">
      <c r="A148" s="2">
        <v>1006</v>
      </c>
      <c r="B148" s="2">
        <v>147</v>
      </c>
      <c r="C148" s="2" t="s">
        <v>307</v>
      </c>
      <c r="D148" s="2">
        <v>54</v>
      </c>
      <c r="E148" s="2" t="str" cm="1">
        <f t="array" ref="E148">_xlfn.IFS(D148&gt;=60,"Senior",D148&gt;=23,"Adult",D148&gt;=18,"Teenager")</f>
        <v>Adult</v>
      </c>
      <c r="F148" s="2" t="s">
        <v>9</v>
      </c>
      <c r="G148" s="3">
        <v>45826</v>
      </c>
      <c r="H148" s="3">
        <v>45454</v>
      </c>
      <c r="I148" s="2" t="s">
        <v>308</v>
      </c>
      <c r="J148" s="2" t="s">
        <v>16</v>
      </c>
      <c r="K148" s="2">
        <v>119.63</v>
      </c>
      <c r="L148" s="2" t="s">
        <v>12</v>
      </c>
      <c r="M148">
        <f t="shared" si="2"/>
        <v>0.54231974921630099</v>
      </c>
    </row>
    <row r="149" spans="1:13" x14ac:dyDescent="0.35">
      <c r="A149" s="2">
        <v>1021</v>
      </c>
      <c r="B149" s="2">
        <v>148</v>
      </c>
      <c r="C149" s="2" t="s">
        <v>309</v>
      </c>
      <c r="D149" s="2">
        <v>43</v>
      </c>
      <c r="E149" s="2" t="str" cm="1">
        <f t="array" ref="E149">_xlfn.IFS(D149&gt;=60,"Senior",D149&gt;=23,"Adult",D149&gt;=18,"Teenager")</f>
        <v>Adult</v>
      </c>
      <c r="F149" s="2" t="s">
        <v>9</v>
      </c>
      <c r="G149" s="3">
        <v>45772</v>
      </c>
      <c r="H149" s="3">
        <v>45748</v>
      </c>
      <c r="I149" s="2" t="s">
        <v>310</v>
      </c>
      <c r="J149" s="2" t="s">
        <v>16</v>
      </c>
      <c r="K149" s="2">
        <v>186.4</v>
      </c>
      <c r="L149" s="2" t="s">
        <v>12</v>
      </c>
      <c r="M149">
        <f t="shared" si="2"/>
        <v>0.54402515723270439</v>
      </c>
    </row>
    <row r="150" spans="1:13" x14ac:dyDescent="0.35">
      <c r="A150" s="2">
        <v>1084</v>
      </c>
      <c r="B150" s="2">
        <v>149</v>
      </c>
      <c r="C150" s="2" t="s">
        <v>311</v>
      </c>
      <c r="D150" s="2">
        <v>53</v>
      </c>
      <c r="E150" s="2" t="str" cm="1">
        <f t="array" ref="E150">_xlfn.IFS(D150&gt;=60,"Senior",D150&gt;=23,"Adult",D150&gt;=18,"Teenager")</f>
        <v>Adult</v>
      </c>
      <c r="F150" s="2" t="s">
        <v>9</v>
      </c>
      <c r="G150" s="3">
        <v>45788</v>
      </c>
      <c r="H150" s="3">
        <v>45665</v>
      </c>
      <c r="I150" s="2" t="s">
        <v>312</v>
      </c>
      <c r="J150" s="2" t="s">
        <v>16</v>
      </c>
      <c r="K150" s="2">
        <v>234.99</v>
      </c>
      <c r="L150" s="2" t="s">
        <v>19</v>
      </c>
      <c r="M150">
        <f t="shared" si="2"/>
        <v>0.5457413249211357</v>
      </c>
    </row>
    <row r="151" spans="1:13" x14ac:dyDescent="0.35">
      <c r="A151" s="2">
        <v>1025</v>
      </c>
      <c r="B151" s="2">
        <v>150</v>
      </c>
      <c r="C151" s="2" t="s">
        <v>313</v>
      </c>
      <c r="D151" s="2">
        <v>55</v>
      </c>
      <c r="E151" s="2" t="str" cm="1">
        <f t="array" ref="E151">_xlfn.IFS(D151&gt;=60,"Senior",D151&gt;=23,"Adult",D151&gt;=18,"Teenager")</f>
        <v>Adult</v>
      </c>
      <c r="F151" s="2" t="s">
        <v>9</v>
      </c>
      <c r="G151" s="3">
        <v>45976</v>
      </c>
      <c r="H151" s="3">
        <v>45479</v>
      </c>
      <c r="I151" s="2" t="s">
        <v>314</v>
      </c>
      <c r="J151" s="2" t="s">
        <v>11</v>
      </c>
      <c r="K151" s="2">
        <v>316.26</v>
      </c>
      <c r="L151" s="2" t="s">
        <v>12</v>
      </c>
      <c r="M151">
        <f t="shared" si="2"/>
        <v>0.54430379746835444</v>
      </c>
    </row>
    <row r="152" spans="1:13" x14ac:dyDescent="0.35">
      <c r="A152" s="2">
        <v>1015</v>
      </c>
      <c r="B152" s="2">
        <v>151</v>
      </c>
      <c r="C152" s="2" t="s">
        <v>315</v>
      </c>
      <c r="D152" s="2">
        <v>21</v>
      </c>
      <c r="E152" s="2" t="str" cm="1">
        <f t="array" ref="E152">_xlfn.IFS(D152&gt;=60,"Senior",D152&gt;=23,"Adult",D152&gt;=18,"Teenager")</f>
        <v>Teenager</v>
      </c>
      <c r="F152" s="2" t="s">
        <v>9</v>
      </c>
      <c r="G152" s="3">
        <v>45998</v>
      </c>
      <c r="H152" s="3">
        <v>45716</v>
      </c>
      <c r="I152" s="2" t="s">
        <v>316</v>
      </c>
      <c r="J152" s="2" t="s">
        <v>33</v>
      </c>
      <c r="K152" s="2">
        <v>129.91</v>
      </c>
      <c r="L152" s="2" t="s">
        <v>19</v>
      </c>
      <c r="M152">
        <f t="shared" si="2"/>
        <v>0.54603174603174598</v>
      </c>
    </row>
    <row r="153" spans="1:13" x14ac:dyDescent="0.35">
      <c r="A153" s="2">
        <v>1015</v>
      </c>
      <c r="B153" s="2">
        <v>152</v>
      </c>
      <c r="C153" s="2" t="s">
        <v>317</v>
      </c>
      <c r="D153" s="2">
        <v>86</v>
      </c>
      <c r="E153" s="2" t="str" cm="1">
        <f t="array" ref="E153">_xlfn.IFS(D153&gt;=60,"Senior",D153&gt;=23,"Adult",D153&gt;=18,"Teenager")</f>
        <v>Senior</v>
      </c>
      <c r="F153" s="2" t="s">
        <v>9</v>
      </c>
      <c r="G153" s="3">
        <v>45882</v>
      </c>
      <c r="H153" s="3">
        <v>45556</v>
      </c>
      <c r="I153" s="2" t="s">
        <v>318</v>
      </c>
      <c r="J153" s="2" t="s">
        <v>26</v>
      </c>
      <c r="K153" s="2">
        <v>459.41</v>
      </c>
      <c r="L153" s="2" t="s">
        <v>19</v>
      </c>
      <c r="M153">
        <f t="shared" si="2"/>
        <v>0.54458598726114649</v>
      </c>
    </row>
    <row r="154" spans="1:13" x14ac:dyDescent="0.35">
      <c r="A154" s="2">
        <v>1065</v>
      </c>
      <c r="B154" s="2">
        <v>153</v>
      </c>
      <c r="C154" s="2" t="s">
        <v>319</v>
      </c>
      <c r="D154" s="2">
        <v>76</v>
      </c>
      <c r="E154" s="2" t="str" cm="1">
        <f t="array" ref="E154">_xlfn.IFS(D154&gt;=60,"Senior",D154&gt;=23,"Adult",D154&gt;=18,"Teenager")</f>
        <v>Senior</v>
      </c>
      <c r="F154" s="2" t="s">
        <v>14</v>
      </c>
      <c r="G154" s="3">
        <v>45836</v>
      </c>
      <c r="H154" s="3">
        <v>45648</v>
      </c>
      <c r="I154" s="2" t="s">
        <v>320</v>
      </c>
      <c r="J154" s="2" t="s">
        <v>33</v>
      </c>
      <c r="K154" s="2">
        <v>145.83000000000001</v>
      </c>
      <c r="L154" s="2" t="s">
        <v>19</v>
      </c>
      <c r="M154">
        <f t="shared" si="2"/>
        <v>0.54313099041533541</v>
      </c>
    </row>
    <row r="155" spans="1:13" x14ac:dyDescent="0.35">
      <c r="A155" s="2">
        <v>1050</v>
      </c>
      <c r="B155" s="2">
        <v>154</v>
      </c>
      <c r="C155" s="2" t="s">
        <v>321</v>
      </c>
      <c r="D155" s="2">
        <v>81</v>
      </c>
      <c r="E155" s="2" t="str" cm="1">
        <f t="array" ref="E155">_xlfn.IFS(D155&gt;=60,"Senior",D155&gt;=23,"Adult",D155&gt;=18,"Teenager")</f>
        <v>Senior</v>
      </c>
      <c r="F155" s="2" t="s">
        <v>14</v>
      </c>
      <c r="G155" s="3">
        <v>45804</v>
      </c>
      <c r="H155" s="3">
        <v>45555</v>
      </c>
      <c r="I155" s="2" t="s">
        <v>322</v>
      </c>
      <c r="J155" s="2" t="s">
        <v>26</v>
      </c>
      <c r="K155" s="2">
        <v>17690.88</v>
      </c>
      <c r="L155" s="2" t="s">
        <v>19</v>
      </c>
      <c r="M155">
        <f t="shared" si="2"/>
        <v>0.54166666666666663</v>
      </c>
    </row>
    <row r="156" spans="1:13" x14ac:dyDescent="0.35">
      <c r="A156" s="2">
        <v>1047</v>
      </c>
      <c r="B156" s="2">
        <v>155</v>
      </c>
      <c r="C156" s="2" t="s">
        <v>323</v>
      </c>
      <c r="D156" s="2">
        <v>87</v>
      </c>
      <c r="E156" s="2" t="str" cm="1">
        <f t="array" ref="E156">_xlfn.IFS(D156&gt;=60,"Senior",D156&gt;=23,"Adult",D156&gt;=18,"Teenager")</f>
        <v>Senior</v>
      </c>
      <c r="F156" s="2" t="s">
        <v>9</v>
      </c>
      <c r="G156" s="3">
        <v>45818</v>
      </c>
      <c r="H156" s="3">
        <v>45628</v>
      </c>
      <c r="I156" s="2" t="s">
        <v>324</v>
      </c>
      <c r="J156" s="2" t="s">
        <v>11</v>
      </c>
      <c r="K156" s="2">
        <v>12999.36</v>
      </c>
      <c r="L156" s="2" t="s">
        <v>12</v>
      </c>
      <c r="M156">
        <f t="shared" si="2"/>
        <v>0.54019292604501612</v>
      </c>
    </row>
    <row r="157" spans="1:13" x14ac:dyDescent="0.35">
      <c r="A157" s="2">
        <v>1049</v>
      </c>
      <c r="B157" s="2">
        <v>156</v>
      </c>
      <c r="C157" s="2" t="s">
        <v>325</v>
      </c>
      <c r="D157" s="2">
        <v>65</v>
      </c>
      <c r="E157" s="2" t="str" cm="1">
        <f t="array" ref="E157">_xlfn.IFS(D157&gt;=60,"Senior",D157&gt;=23,"Adult",D157&gt;=18,"Teenager")</f>
        <v>Senior</v>
      </c>
      <c r="F157" s="2" t="s">
        <v>9</v>
      </c>
      <c r="G157" s="3">
        <v>46070</v>
      </c>
      <c r="H157" s="3">
        <v>45443</v>
      </c>
      <c r="I157" s="2" t="s">
        <v>326</v>
      </c>
      <c r="J157" s="2" t="s">
        <v>26</v>
      </c>
      <c r="K157" s="2">
        <v>19695.36</v>
      </c>
      <c r="L157" s="2" t="s">
        <v>19</v>
      </c>
      <c r="M157">
        <f t="shared" si="2"/>
        <v>0.54193548387096779</v>
      </c>
    </row>
    <row r="158" spans="1:13" x14ac:dyDescent="0.35">
      <c r="A158" s="2">
        <v>1098</v>
      </c>
      <c r="B158" s="2">
        <v>157</v>
      </c>
      <c r="C158" s="2" t="s">
        <v>327</v>
      </c>
      <c r="D158" s="2">
        <v>48</v>
      </c>
      <c r="E158" s="2" t="str" cm="1">
        <f t="array" ref="E158">_xlfn.IFS(D158&gt;=60,"Senior",D158&gt;=23,"Adult",D158&gt;=18,"Teenager")</f>
        <v>Adult</v>
      </c>
      <c r="F158" s="2" t="s">
        <v>9</v>
      </c>
      <c r="G158" s="3">
        <v>46027</v>
      </c>
      <c r="H158" s="3">
        <v>45807</v>
      </c>
      <c r="I158" s="2" t="s">
        <v>328</v>
      </c>
      <c r="J158" s="2" t="s">
        <v>11</v>
      </c>
      <c r="K158" s="2">
        <v>28457.279999999999</v>
      </c>
      <c r="L158" s="2" t="s">
        <v>19</v>
      </c>
      <c r="M158">
        <f t="shared" si="2"/>
        <v>0.54045307443365698</v>
      </c>
    </row>
    <row r="159" spans="1:13" x14ac:dyDescent="0.35">
      <c r="A159" s="2">
        <v>1066</v>
      </c>
      <c r="B159" s="2">
        <v>158</v>
      </c>
      <c r="C159" s="2" t="s">
        <v>329</v>
      </c>
      <c r="D159" s="2">
        <v>33</v>
      </c>
      <c r="E159" s="2" t="str" cm="1">
        <f t="array" ref="E159">_xlfn.IFS(D159&gt;=60,"Senior",D159&gt;=23,"Adult",D159&gt;=18,"Teenager")</f>
        <v>Adult</v>
      </c>
      <c r="F159" s="2" t="s">
        <v>14</v>
      </c>
      <c r="G159" s="3">
        <v>45840</v>
      </c>
      <c r="H159" s="3">
        <v>45518</v>
      </c>
      <c r="I159" s="2" t="s">
        <v>330</v>
      </c>
      <c r="J159" s="2" t="s">
        <v>11</v>
      </c>
      <c r="K159" s="2">
        <v>22462.080000000002</v>
      </c>
      <c r="L159" s="2" t="s">
        <v>12</v>
      </c>
      <c r="M159">
        <f t="shared" si="2"/>
        <v>0.53896103896103897</v>
      </c>
    </row>
    <row r="160" spans="1:13" x14ac:dyDescent="0.35">
      <c r="A160" s="2">
        <v>1056</v>
      </c>
      <c r="B160" s="2">
        <v>159</v>
      </c>
      <c r="C160" s="2" t="s">
        <v>331</v>
      </c>
      <c r="D160" s="2">
        <v>46</v>
      </c>
      <c r="E160" s="2" t="str" cm="1">
        <f t="array" ref="E160">_xlfn.IFS(D160&gt;=60,"Senior",D160&gt;=23,"Adult",D160&gt;=18,"Teenager")</f>
        <v>Adult</v>
      </c>
      <c r="F160" s="2" t="s">
        <v>14</v>
      </c>
      <c r="G160" s="3">
        <v>46093</v>
      </c>
      <c r="H160" s="3">
        <v>45880</v>
      </c>
      <c r="I160" s="2" t="s">
        <v>332</v>
      </c>
      <c r="J160" s="2" t="s">
        <v>16</v>
      </c>
      <c r="K160" s="2">
        <v>435.55</v>
      </c>
      <c r="L160" s="2" t="s">
        <v>12</v>
      </c>
      <c r="M160">
        <f t="shared" si="2"/>
        <v>0.54071661237785018</v>
      </c>
    </row>
    <row r="161" spans="1:13" x14ac:dyDescent="0.35">
      <c r="A161" s="2">
        <v>1033</v>
      </c>
      <c r="B161" s="2">
        <v>160</v>
      </c>
      <c r="C161" s="2" t="s">
        <v>333</v>
      </c>
      <c r="D161" s="2">
        <v>48</v>
      </c>
      <c r="E161" s="2" t="str" cm="1">
        <f t="array" ref="E161">_xlfn.IFS(D161&gt;=60,"Senior",D161&gt;=23,"Adult",D161&gt;=18,"Teenager")</f>
        <v>Adult</v>
      </c>
      <c r="F161" s="2" t="s">
        <v>9</v>
      </c>
      <c r="G161" s="3">
        <v>45838</v>
      </c>
      <c r="H161" s="3">
        <v>45681</v>
      </c>
      <c r="I161" s="2" t="s">
        <v>131</v>
      </c>
      <c r="J161" s="2" t="s">
        <v>33</v>
      </c>
      <c r="K161" s="2">
        <v>88.58</v>
      </c>
      <c r="L161" s="2" t="s">
        <v>12</v>
      </c>
      <c r="M161">
        <f t="shared" si="2"/>
        <v>0.54248366013071891</v>
      </c>
    </row>
    <row r="162" spans="1:13" x14ac:dyDescent="0.35">
      <c r="A162" s="2">
        <v>1082</v>
      </c>
      <c r="B162" s="2">
        <v>161</v>
      </c>
      <c r="C162" s="2" t="s">
        <v>334</v>
      </c>
      <c r="D162" s="2">
        <v>29</v>
      </c>
      <c r="E162" s="2" t="str" cm="1">
        <f t="array" ref="E162">_xlfn.IFS(D162&gt;=60,"Senior",D162&gt;=23,"Adult",D162&gt;=18,"Teenager")</f>
        <v>Adult</v>
      </c>
      <c r="F162" s="2" t="s">
        <v>14</v>
      </c>
      <c r="G162" s="3">
        <v>45962</v>
      </c>
      <c r="H162" s="3">
        <v>45733</v>
      </c>
      <c r="I162" s="2" t="s">
        <v>335</v>
      </c>
      <c r="J162" s="2" t="s">
        <v>16</v>
      </c>
      <c r="K162" s="2">
        <v>35183.040000000001</v>
      </c>
      <c r="L162" s="2" t="s">
        <v>12</v>
      </c>
      <c r="M162">
        <f t="shared" si="2"/>
        <v>0.54426229508196722</v>
      </c>
    </row>
    <row r="163" spans="1:13" x14ac:dyDescent="0.35">
      <c r="A163" s="2">
        <v>1063</v>
      </c>
      <c r="B163" s="2">
        <v>162</v>
      </c>
      <c r="C163" s="2" t="s">
        <v>336</v>
      </c>
      <c r="D163" s="2">
        <v>36</v>
      </c>
      <c r="E163" s="2" t="str" cm="1">
        <f t="array" ref="E163">_xlfn.IFS(D163&gt;=60,"Senior",D163&gt;=23,"Adult",D163&gt;=18,"Teenager")</f>
        <v>Adult</v>
      </c>
      <c r="F163" s="2" t="s">
        <v>14</v>
      </c>
      <c r="G163" s="3">
        <v>45932</v>
      </c>
      <c r="H163" s="3">
        <v>45912</v>
      </c>
      <c r="I163" s="2" t="s">
        <v>337</v>
      </c>
      <c r="J163" s="2" t="s">
        <v>11</v>
      </c>
      <c r="K163" s="2">
        <v>239.5</v>
      </c>
      <c r="L163" s="2" t="s">
        <v>19</v>
      </c>
      <c r="M163">
        <f t="shared" si="2"/>
        <v>0.54605263157894735</v>
      </c>
    </row>
    <row r="164" spans="1:13" x14ac:dyDescent="0.35">
      <c r="A164" s="2">
        <v>1003</v>
      </c>
      <c r="B164" s="2">
        <v>163</v>
      </c>
      <c r="C164" s="2" t="s">
        <v>338</v>
      </c>
      <c r="D164" s="2">
        <v>29</v>
      </c>
      <c r="E164" s="2" t="str" cm="1">
        <f t="array" ref="E164">_xlfn.IFS(D164&gt;=60,"Senior",D164&gt;=23,"Adult",D164&gt;=18,"Teenager")</f>
        <v>Adult</v>
      </c>
      <c r="F164" s="2" t="s">
        <v>9</v>
      </c>
      <c r="G164" s="3">
        <v>46076</v>
      </c>
      <c r="H164" s="3">
        <v>45386</v>
      </c>
      <c r="I164" s="2" t="s">
        <v>339</v>
      </c>
      <c r="J164" s="2" t="s">
        <v>33</v>
      </c>
      <c r="K164" s="2">
        <v>55.55</v>
      </c>
      <c r="L164" s="2" t="s">
        <v>12</v>
      </c>
      <c r="M164">
        <f t="shared" si="2"/>
        <v>0.54455445544554459</v>
      </c>
    </row>
    <row r="165" spans="1:13" x14ac:dyDescent="0.35">
      <c r="A165" s="2">
        <v>1058</v>
      </c>
      <c r="B165" s="2">
        <v>164</v>
      </c>
      <c r="C165" s="2" t="s">
        <v>340</v>
      </c>
      <c r="D165" s="2">
        <v>36</v>
      </c>
      <c r="E165" s="2" t="str" cm="1">
        <f t="array" ref="E165">_xlfn.IFS(D165&gt;=60,"Senior",D165&gt;=23,"Adult",D165&gt;=18,"Teenager")</f>
        <v>Adult</v>
      </c>
      <c r="F165" s="2" t="s">
        <v>9</v>
      </c>
      <c r="G165" s="3">
        <v>46011</v>
      </c>
      <c r="H165" s="3">
        <v>45378</v>
      </c>
      <c r="I165" s="2" t="s">
        <v>341</v>
      </c>
      <c r="J165" s="2" t="s">
        <v>11</v>
      </c>
      <c r="K165" s="2">
        <v>386.16</v>
      </c>
      <c r="L165" s="2" t="s">
        <v>19</v>
      </c>
      <c r="M165">
        <f t="shared" si="2"/>
        <v>0.54635761589403975</v>
      </c>
    </row>
    <row r="166" spans="1:13" x14ac:dyDescent="0.35">
      <c r="A166" s="2">
        <v>1095</v>
      </c>
      <c r="B166" s="2">
        <v>165</v>
      </c>
      <c r="C166" s="2" t="s">
        <v>342</v>
      </c>
      <c r="D166" s="2">
        <v>60</v>
      </c>
      <c r="E166" s="2" t="str" cm="1">
        <f t="array" ref="E166">_xlfn.IFS(D166&gt;=60,"Senior",D166&gt;=23,"Adult",D166&gt;=18,"Teenager")</f>
        <v>Senior</v>
      </c>
      <c r="F166" s="2" t="s">
        <v>9</v>
      </c>
      <c r="G166" s="3">
        <v>46013</v>
      </c>
      <c r="H166" s="3">
        <v>45429</v>
      </c>
      <c r="I166" s="2" t="s">
        <v>343</v>
      </c>
      <c r="J166" s="2" t="s">
        <v>11</v>
      </c>
      <c r="K166" s="2">
        <v>204.86</v>
      </c>
      <c r="L166" s="2" t="s">
        <v>19</v>
      </c>
      <c r="M166">
        <f t="shared" si="2"/>
        <v>0.54485049833887045</v>
      </c>
    </row>
    <row r="167" spans="1:13" x14ac:dyDescent="0.35">
      <c r="A167" s="2">
        <v>1036</v>
      </c>
      <c r="B167" s="2">
        <v>166</v>
      </c>
      <c r="C167" s="2" t="s">
        <v>344</v>
      </c>
      <c r="D167" s="2">
        <v>87</v>
      </c>
      <c r="E167" s="2" t="str" cm="1">
        <f t="array" ref="E167">_xlfn.IFS(D167&gt;=60,"Senior",D167&gt;=23,"Adult",D167&gt;=18,"Teenager")</f>
        <v>Senior</v>
      </c>
      <c r="F167" s="2" t="s">
        <v>14</v>
      </c>
      <c r="G167" s="3">
        <v>45869</v>
      </c>
      <c r="H167" s="3">
        <v>45598</v>
      </c>
      <c r="I167" s="2" t="s">
        <v>345</v>
      </c>
      <c r="J167" s="2" t="s">
        <v>26</v>
      </c>
      <c r="K167" s="2">
        <v>35435.519999999997</v>
      </c>
      <c r="L167" s="2" t="s">
        <v>19</v>
      </c>
      <c r="M167">
        <f t="shared" si="2"/>
        <v>0.54333333333333333</v>
      </c>
    </row>
    <row r="168" spans="1:13" x14ac:dyDescent="0.35">
      <c r="A168" s="2">
        <v>1049</v>
      </c>
      <c r="B168" s="2">
        <v>167</v>
      </c>
      <c r="C168" s="2" t="s">
        <v>346</v>
      </c>
      <c r="D168" s="2">
        <v>58</v>
      </c>
      <c r="E168" s="2" t="str" cm="1">
        <f t="array" ref="E168">_xlfn.IFS(D168&gt;=60,"Senior",D168&gt;=23,"Adult",D168&gt;=18,"Teenager")</f>
        <v>Adult</v>
      </c>
      <c r="F168" s="2" t="s">
        <v>9</v>
      </c>
      <c r="G168" s="3">
        <v>45846</v>
      </c>
      <c r="H168" s="3">
        <v>45689</v>
      </c>
      <c r="I168" s="2" t="s">
        <v>347</v>
      </c>
      <c r="J168" s="2" t="s">
        <v>26</v>
      </c>
      <c r="K168" s="2">
        <v>474.33</v>
      </c>
      <c r="L168" s="2" t="s">
        <v>19</v>
      </c>
      <c r="M168">
        <f t="shared" si="2"/>
        <v>0.5418060200668896</v>
      </c>
    </row>
    <row r="169" spans="1:13" x14ac:dyDescent="0.35">
      <c r="A169" s="2">
        <v>1084</v>
      </c>
      <c r="B169" s="2">
        <v>168</v>
      </c>
      <c r="C169" s="2" t="s">
        <v>348</v>
      </c>
      <c r="D169" s="2">
        <v>64</v>
      </c>
      <c r="E169" s="2" t="str" cm="1">
        <f t="array" ref="E169">_xlfn.IFS(D169&gt;=60,"Senior",D169&gt;=23,"Adult",D169&gt;=18,"Teenager")</f>
        <v>Senior</v>
      </c>
      <c r="F169" s="2" t="s">
        <v>14</v>
      </c>
      <c r="G169" s="3">
        <v>46022</v>
      </c>
      <c r="H169" s="3">
        <v>45766</v>
      </c>
      <c r="I169" s="2" t="s">
        <v>349</v>
      </c>
      <c r="J169" s="2" t="s">
        <v>33</v>
      </c>
      <c r="K169" s="2">
        <v>154.03</v>
      </c>
      <c r="L169" s="2" t="s">
        <v>19</v>
      </c>
      <c r="M169">
        <f t="shared" si="2"/>
        <v>0.54026845637583898</v>
      </c>
    </row>
    <row r="170" spans="1:13" x14ac:dyDescent="0.35">
      <c r="A170" s="2">
        <v>1058</v>
      </c>
      <c r="B170" s="2">
        <v>169</v>
      </c>
      <c r="C170" s="2" t="s">
        <v>350</v>
      </c>
      <c r="D170" s="2">
        <v>29</v>
      </c>
      <c r="E170" s="2" t="str" cm="1">
        <f t="array" ref="E170">_xlfn.IFS(D170&gt;=60,"Senior",D170&gt;=23,"Adult",D170&gt;=18,"Teenager")</f>
        <v>Adult</v>
      </c>
      <c r="F170" s="2" t="s">
        <v>14</v>
      </c>
      <c r="G170" s="3">
        <v>45807</v>
      </c>
      <c r="H170" s="3">
        <v>45377</v>
      </c>
      <c r="I170" s="2" t="s">
        <v>351</v>
      </c>
      <c r="J170" s="2" t="s">
        <v>11</v>
      </c>
      <c r="K170" s="2">
        <v>46197.120000000003</v>
      </c>
      <c r="L170" s="2" t="s">
        <v>19</v>
      </c>
      <c r="M170">
        <f t="shared" si="2"/>
        <v>0.53872053872053871</v>
      </c>
    </row>
    <row r="171" spans="1:13" x14ac:dyDescent="0.35">
      <c r="A171" s="2">
        <v>1022</v>
      </c>
      <c r="B171" s="2">
        <v>170</v>
      </c>
      <c r="C171" s="2" t="s">
        <v>352</v>
      </c>
      <c r="D171" s="2">
        <v>56</v>
      </c>
      <c r="E171" s="2" t="str" cm="1">
        <f t="array" ref="E171">_xlfn.IFS(D171&gt;=60,"Senior",D171&gt;=23,"Adult",D171&gt;=18,"Teenager")</f>
        <v>Adult</v>
      </c>
      <c r="F171" s="2" t="s">
        <v>14</v>
      </c>
      <c r="G171" s="3">
        <v>45824</v>
      </c>
      <c r="H171" s="3">
        <v>45443</v>
      </c>
      <c r="I171" s="2" t="s">
        <v>353</v>
      </c>
      <c r="J171" s="2" t="s">
        <v>26</v>
      </c>
      <c r="K171" s="2">
        <v>15106.56</v>
      </c>
      <c r="L171" s="2" t="s">
        <v>12</v>
      </c>
      <c r="M171">
        <f t="shared" si="2"/>
        <v>0.53716216216216217</v>
      </c>
    </row>
    <row r="172" spans="1:13" x14ac:dyDescent="0.35">
      <c r="A172" s="2">
        <v>1039</v>
      </c>
      <c r="B172" s="2">
        <v>171</v>
      </c>
      <c r="C172" s="2" t="s">
        <v>354</v>
      </c>
      <c r="D172" s="2">
        <v>55</v>
      </c>
      <c r="E172" s="2" t="str" cm="1">
        <f t="array" ref="E172">_xlfn.IFS(D172&gt;=60,"Senior",D172&gt;=23,"Adult",D172&gt;=18,"Teenager")</f>
        <v>Adult</v>
      </c>
      <c r="F172" s="2" t="s">
        <v>14</v>
      </c>
      <c r="G172" s="3">
        <v>45748</v>
      </c>
      <c r="H172" s="3">
        <v>45548</v>
      </c>
      <c r="I172" s="2" t="s">
        <v>355</v>
      </c>
      <c r="J172" s="2" t="s">
        <v>33</v>
      </c>
      <c r="K172" s="2">
        <v>41552.639999999999</v>
      </c>
      <c r="L172" s="2" t="s">
        <v>12</v>
      </c>
      <c r="M172">
        <f t="shared" si="2"/>
        <v>0.53898305084745768</v>
      </c>
    </row>
    <row r="173" spans="1:13" x14ac:dyDescent="0.35">
      <c r="A173" s="2">
        <v>1013</v>
      </c>
      <c r="B173" s="2">
        <v>172</v>
      </c>
      <c r="C173" s="2" t="s">
        <v>356</v>
      </c>
      <c r="D173" s="2">
        <v>62</v>
      </c>
      <c r="E173" s="2" t="str" cm="1">
        <f t="array" ref="E173">_xlfn.IFS(D173&gt;=60,"Senior",D173&gt;=23,"Adult",D173&gt;=18,"Teenager")</f>
        <v>Senior</v>
      </c>
      <c r="F173" s="2" t="s">
        <v>9</v>
      </c>
      <c r="G173" s="3">
        <v>46054</v>
      </c>
      <c r="H173" s="3">
        <v>45714</v>
      </c>
      <c r="I173" s="2" t="s">
        <v>357</v>
      </c>
      <c r="J173" s="2" t="s">
        <v>16</v>
      </c>
      <c r="K173" s="2">
        <v>39672</v>
      </c>
      <c r="L173" s="2" t="s">
        <v>19</v>
      </c>
      <c r="M173">
        <f t="shared" si="2"/>
        <v>0.54081632653061229</v>
      </c>
    </row>
    <row r="174" spans="1:13" x14ac:dyDescent="0.35">
      <c r="A174" s="2">
        <v>1089</v>
      </c>
      <c r="B174" s="2">
        <v>173</v>
      </c>
      <c r="C174" s="2" t="s">
        <v>358</v>
      </c>
      <c r="D174" s="2">
        <v>24</v>
      </c>
      <c r="E174" s="2" t="str" cm="1">
        <f t="array" ref="E174">_xlfn.IFS(D174&gt;=60,"Senior",D174&gt;=23,"Adult",D174&gt;=18,"Teenager")</f>
        <v>Adult</v>
      </c>
      <c r="F174" s="2" t="s">
        <v>14</v>
      </c>
      <c r="G174" s="3">
        <v>45916</v>
      </c>
      <c r="H174" s="3">
        <v>45673</v>
      </c>
      <c r="I174" s="2" t="s">
        <v>359</v>
      </c>
      <c r="J174" s="2" t="s">
        <v>33</v>
      </c>
      <c r="K174" s="2">
        <v>7064.64</v>
      </c>
      <c r="L174" s="2" t="s">
        <v>19</v>
      </c>
      <c r="M174">
        <f t="shared" si="2"/>
        <v>0.53924914675767921</v>
      </c>
    </row>
    <row r="175" spans="1:13" x14ac:dyDescent="0.35">
      <c r="A175" s="2">
        <v>1084</v>
      </c>
      <c r="B175" s="2">
        <v>174</v>
      </c>
      <c r="C175" s="2" t="s">
        <v>360</v>
      </c>
      <c r="D175" s="2">
        <v>34</v>
      </c>
      <c r="E175" s="2" t="str" cm="1">
        <f t="array" ref="E175">_xlfn.IFS(D175&gt;=60,"Senior",D175&gt;=23,"Adult",D175&gt;=18,"Teenager")</f>
        <v>Adult</v>
      </c>
      <c r="F175" s="2" t="s">
        <v>9</v>
      </c>
      <c r="G175" s="3">
        <v>45998</v>
      </c>
      <c r="H175" s="3">
        <v>45941</v>
      </c>
      <c r="I175" s="2" t="s">
        <v>361</v>
      </c>
      <c r="J175" s="2" t="s">
        <v>11</v>
      </c>
      <c r="K175" s="2">
        <v>466.72</v>
      </c>
      <c r="L175" s="2" t="s">
        <v>12</v>
      </c>
      <c r="M175">
        <f t="shared" si="2"/>
        <v>0.53767123287671237</v>
      </c>
    </row>
    <row r="176" spans="1:13" x14ac:dyDescent="0.35">
      <c r="A176" s="2">
        <v>1026</v>
      </c>
      <c r="B176" s="2">
        <v>175</v>
      </c>
      <c r="C176" s="2" t="s">
        <v>362</v>
      </c>
      <c r="D176" s="2">
        <v>42</v>
      </c>
      <c r="E176" s="2" t="str" cm="1">
        <f t="array" ref="E176">_xlfn.IFS(D176&gt;=60,"Senior",D176&gt;=23,"Adult",D176&gt;=18,"Teenager")</f>
        <v>Adult</v>
      </c>
      <c r="F176" s="2" t="s">
        <v>14</v>
      </c>
      <c r="G176" s="3">
        <v>46047</v>
      </c>
      <c r="H176" s="3">
        <v>45635</v>
      </c>
      <c r="I176" s="2" t="s">
        <v>363</v>
      </c>
      <c r="J176" s="2" t="s">
        <v>11</v>
      </c>
      <c r="K176" s="2">
        <v>15062.4</v>
      </c>
      <c r="L176" s="2" t="s">
        <v>12</v>
      </c>
      <c r="M176">
        <f t="shared" si="2"/>
        <v>0.53951890034364258</v>
      </c>
    </row>
    <row r="177" spans="1:13" x14ac:dyDescent="0.35">
      <c r="A177" s="2">
        <v>1004</v>
      </c>
      <c r="B177" s="2">
        <v>176</v>
      </c>
      <c r="C177" s="2" t="s">
        <v>364</v>
      </c>
      <c r="D177" s="2">
        <v>65</v>
      </c>
      <c r="E177" s="2" t="str" cm="1">
        <f t="array" ref="E177">_xlfn.IFS(D177&gt;=60,"Senior",D177&gt;=23,"Adult",D177&gt;=18,"Teenager")</f>
        <v>Senior</v>
      </c>
      <c r="F177" s="2" t="s">
        <v>14</v>
      </c>
      <c r="G177" s="3">
        <v>45881</v>
      </c>
      <c r="H177" s="3">
        <v>45653</v>
      </c>
      <c r="I177" s="2" t="s">
        <v>365</v>
      </c>
      <c r="J177" s="2" t="s">
        <v>26</v>
      </c>
      <c r="K177" s="2">
        <v>18117.12</v>
      </c>
      <c r="L177" s="2" t="s">
        <v>19</v>
      </c>
      <c r="M177">
        <f t="shared" si="2"/>
        <v>0.54137931034482756</v>
      </c>
    </row>
    <row r="178" spans="1:13" x14ac:dyDescent="0.35">
      <c r="A178" s="2">
        <v>1005</v>
      </c>
      <c r="B178" s="2">
        <v>177</v>
      </c>
      <c r="C178" s="2" t="s">
        <v>366</v>
      </c>
      <c r="D178" s="2">
        <v>80</v>
      </c>
      <c r="E178" s="2" t="str" cm="1">
        <f t="array" ref="E178">_xlfn.IFS(D178&gt;=60,"Senior",D178&gt;=23,"Adult",D178&gt;=18,"Teenager")</f>
        <v>Senior</v>
      </c>
      <c r="F178" s="2" t="s">
        <v>14</v>
      </c>
      <c r="G178" s="3">
        <v>45862</v>
      </c>
      <c r="H178" s="3">
        <v>45673</v>
      </c>
      <c r="I178" s="2" t="s">
        <v>367</v>
      </c>
      <c r="J178" s="2" t="s">
        <v>11</v>
      </c>
      <c r="K178" s="2">
        <v>30789.119999999999</v>
      </c>
      <c r="L178" s="2" t="s">
        <v>12</v>
      </c>
      <c r="M178">
        <f t="shared" si="2"/>
        <v>0.53979238754325265</v>
      </c>
    </row>
    <row r="179" spans="1:13" x14ac:dyDescent="0.35">
      <c r="A179" s="2">
        <v>1071</v>
      </c>
      <c r="B179" s="2">
        <v>178</v>
      </c>
      <c r="C179" s="2" t="s">
        <v>368</v>
      </c>
      <c r="D179" s="2">
        <v>73</v>
      </c>
      <c r="E179" s="2" t="str" cm="1">
        <f t="array" ref="E179">_xlfn.IFS(D179&gt;=60,"Senior",D179&gt;=23,"Adult",D179&gt;=18,"Teenager")</f>
        <v>Senior</v>
      </c>
      <c r="F179" s="2" t="s">
        <v>14</v>
      </c>
      <c r="G179" s="3">
        <v>45893</v>
      </c>
      <c r="H179" s="3">
        <v>45842</v>
      </c>
      <c r="I179" s="2" t="s">
        <v>369</v>
      </c>
      <c r="J179" s="2" t="s">
        <v>16</v>
      </c>
      <c r="K179" s="2">
        <v>25232.639999999999</v>
      </c>
      <c r="L179" s="2" t="s">
        <v>12</v>
      </c>
      <c r="M179">
        <f t="shared" si="2"/>
        <v>0.54166666666666663</v>
      </c>
    </row>
    <row r="180" spans="1:13" x14ac:dyDescent="0.35">
      <c r="A180" s="2">
        <v>1070</v>
      </c>
      <c r="B180" s="2">
        <v>179</v>
      </c>
      <c r="C180" s="2" t="s">
        <v>92</v>
      </c>
      <c r="D180" s="2">
        <v>78</v>
      </c>
      <c r="E180" s="2" t="str" cm="1">
        <f t="array" ref="E180">_xlfn.IFS(D180&gt;=60,"Senior",D180&gt;=23,"Adult",D180&gt;=18,"Teenager")</f>
        <v>Senior</v>
      </c>
      <c r="F180" s="2" t="s">
        <v>14</v>
      </c>
      <c r="G180" s="3">
        <v>46010</v>
      </c>
      <c r="H180" s="3">
        <v>45621</v>
      </c>
      <c r="I180" s="2" t="s">
        <v>370</v>
      </c>
      <c r="J180" s="2" t="s">
        <v>26</v>
      </c>
      <c r="K180" s="2">
        <v>274.94</v>
      </c>
      <c r="L180" s="2" t="s">
        <v>12</v>
      </c>
      <c r="M180">
        <f t="shared" si="2"/>
        <v>0.54355400696864109</v>
      </c>
    </row>
    <row r="181" spans="1:13" x14ac:dyDescent="0.35">
      <c r="A181" s="2">
        <v>1053</v>
      </c>
      <c r="B181" s="2">
        <v>180</v>
      </c>
      <c r="C181" s="2" t="s">
        <v>371</v>
      </c>
      <c r="D181" s="2">
        <v>76</v>
      </c>
      <c r="E181" s="2" t="str" cm="1">
        <f t="array" ref="E181">_xlfn.IFS(D181&gt;=60,"Senior",D181&gt;=23,"Adult",D181&gt;=18,"Teenager")</f>
        <v>Senior</v>
      </c>
      <c r="F181" s="2" t="s">
        <v>9</v>
      </c>
      <c r="G181" s="3">
        <v>45989</v>
      </c>
      <c r="H181" s="3">
        <v>45767</v>
      </c>
      <c r="I181" s="2" t="s">
        <v>372</v>
      </c>
      <c r="J181" s="2" t="s">
        <v>11</v>
      </c>
      <c r="K181" s="2">
        <v>35973.120000000003</v>
      </c>
      <c r="L181" s="2" t="s">
        <v>19</v>
      </c>
      <c r="M181">
        <f t="shared" si="2"/>
        <v>0.54545454545454541</v>
      </c>
    </row>
    <row r="182" spans="1:13" x14ac:dyDescent="0.35">
      <c r="A182" s="2">
        <v>1013</v>
      </c>
      <c r="B182" s="2">
        <v>181</v>
      </c>
      <c r="C182" s="2" t="s">
        <v>373</v>
      </c>
      <c r="D182" s="2">
        <v>27</v>
      </c>
      <c r="E182" s="2" t="str" cm="1">
        <f t="array" ref="E182">_xlfn.IFS(D182&gt;=60,"Senior",D182&gt;=23,"Adult",D182&gt;=18,"Teenager")</f>
        <v>Adult</v>
      </c>
      <c r="F182" s="2" t="s">
        <v>9</v>
      </c>
      <c r="G182" s="3">
        <v>46027</v>
      </c>
      <c r="H182" s="3">
        <v>45638</v>
      </c>
      <c r="I182" s="2" t="s">
        <v>374</v>
      </c>
      <c r="J182" s="2" t="s">
        <v>16</v>
      </c>
      <c r="K182" s="2">
        <v>36421.440000000002</v>
      </c>
      <c r="L182" s="2" t="s">
        <v>19</v>
      </c>
      <c r="M182">
        <f t="shared" si="2"/>
        <v>0.54385964912280704</v>
      </c>
    </row>
    <row r="183" spans="1:13" x14ac:dyDescent="0.35">
      <c r="A183" s="2">
        <v>1027</v>
      </c>
      <c r="B183" s="2">
        <v>182</v>
      </c>
      <c r="C183" s="2" t="s">
        <v>375</v>
      </c>
      <c r="D183" s="2">
        <v>75</v>
      </c>
      <c r="E183" s="2" t="str" cm="1">
        <f t="array" ref="E183">_xlfn.IFS(D183&gt;=60,"Senior",D183&gt;=23,"Adult",D183&gt;=18,"Teenager")</f>
        <v>Senior</v>
      </c>
      <c r="F183" s="2" t="s">
        <v>14</v>
      </c>
      <c r="G183" s="3">
        <v>45761</v>
      </c>
      <c r="H183" s="3">
        <v>45463</v>
      </c>
      <c r="I183" s="2" t="s">
        <v>376</v>
      </c>
      <c r="J183" s="2" t="s">
        <v>33</v>
      </c>
      <c r="K183" s="2">
        <v>442.41</v>
      </c>
      <c r="L183" s="2" t="s">
        <v>12</v>
      </c>
      <c r="M183">
        <f t="shared" si="2"/>
        <v>0.54225352112676062</v>
      </c>
    </row>
    <row r="184" spans="1:13" x14ac:dyDescent="0.35">
      <c r="A184" s="2">
        <v>1010</v>
      </c>
      <c r="B184" s="2">
        <v>183</v>
      </c>
      <c r="C184" s="2" t="s">
        <v>377</v>
      </c>
      <c r="D184" s="2">
        <v>68</v>
      </c>
      <c r="E184" s="2" t="str" cm="1">
        <f t="array" ref="E184">_xlfn.IFS(D184&gt;=60,"Senior",D184&gt;=23,"Adult",D184&gt;=18,"Teenager")</f>
        <v>Senior</v>
      </c>
      <c r="F184" s="2" t="s">
        <v>9</v>
      </c>
      <c r="G184" s="3">
        <v>45842</v>
      </c>
      <c r="H184" s="3">
        <v>45596</v>
      </c>
      <c r="I184" s="2" t="s">
        <v>378</v>
      </c>
      <c r="J184" s="2" t="s">
        <v>11</v>
      </c>
      <c r="K184" s="2">
        <v>38457.599999999999</v>
      </c>
      <c r="L184" s="2" t="s">
        <v>19</v>
      </c>
      <c r="M184">
        <f t="shared" si="2"/>
        <v>0.54416961130742048</v>
      </c>
    </row>
    <row r="185" spans="1:13" x14ac:dyDescent="0.35">
      <c r="A185" s="2">
        <v>1023</v>
      </c>
      <c r="B185" s="2">
        <v>184</v>
      </c>
      <c r="C185" s="2" t="s">
        <v>379</v>
      </c>
      <c r="D185" s="2">
        <v>45</v>
      </c>
      <c r="E185" s="2" t="str" cm="1">
        <f t="array" ref="E185">_xlfn.IFS(D185&gt;=60,"Senior",D185&gt;=23,"Adult",D185&gt;=18,"Teenager")</f>
        <v>Adult</v>
      </c>
      <c r="F185" s="2" t="s">
        <v>14</v>
      </c>
      <c r="G185" s="3">
        <v>45829</v>
      </c>
      <c r="H185" s="3">
        <v>45729</v>
      </c>
      <c r="I185" s="2" t="s">
        <v>380</v>
      </c>
      <c r="J185" s="2" t="s">
        <v>26</v>
      </c>
      <c r="K185" s="2">
        <v>23540.16</v>
      </c>
      <c r="L185" s="2" t="s">
        <v>19</v>
      </c>
      <c r="M185">
        <f t="shared" si="2"/>
        <v>0.54255319148936165</v>
      </c>
    </row>
    <row r="186" spans="1:13" x14ac:dyDescent="0.35">
      <c r="A186" s="2">
        <v>1066</v>
      </c>
      <c r="B186" s="2">
        <v>185</v>
      </c>
      <c r="C186" s="2" t="s">
        <v>381</v>
      </c>
      <c r="D186" s="2">
        <v>85</v>
      </c>
      <c r="E186" s="2" t="str" cm="1">
        <f t="array" ref="E186">_xlfn.IFS(D186&gt;=60,"Senior",D186&gt;=23,"Adult",D186&gt;=18,"Teenager")</f>
        <v>Senior</v>
      </c>
      <c r="F186" s="2" t="s">
        <v>9</v>
      </c>
      <c r="G186" s="3">
        <v>46000</v>
      </c>
      <c r="H186" s="3">
        <v>45687</v>
      </c>
      <c r="I186" s="2" t="s">
        <v>382</v>
      </c>
      <c r="J186" s="2" t="s">
        <v>11</v>
      </c>
      <c r="K186" s="2">
        <v>498.26</v>
      </c>
      <c r="L186" s="2" t="s">
        <v>19</v>
      </c>
      <c r="M186">
        <f t="shared" si="2"/>
        <v>0.54092526690391463</v>
      </c>
    </row>
    <row r="187" spans="1:13" x14ac:dyDescent="0.35">
      <c r="A187" s="2">
        <v>1038</v>
      </c>
      <c r="B187" s="2">
        <v>186</v>
      </c>
      <c r="C187" s="2" t="s">
        <v>383</v>
      </c>
      <c r="D187" s="2">
        <v>72</v>
      </c>
      <c r="E187" s="2" t="str" cm="1">
        <f t="array" ref="E187">_xlfn.IFS(D187&gt;=60,"Senior",D187&gt;=23,"Adult",D187&gt;=18,"Teenager")</f>
        <v>Senior</v>
      </c>
      <c r="F187" s="2" t="s">
        <v>9</v>
      </c>
      <c r="G187" s="3">
        <v>45896</v>
      </c>
      <c r="H187" s="3">
        <v>45633</v>
      </c>
      <c r="I187" s="2" t="s">
        <v>384</v>
      </c>
      <c r="J187" s="2" t="s">
        <v>16</v>
      </c>
      <c r="K187" s="2">
        <v>499.72</v>
      </c>
      <c r="L187" s="2" t="s">
        <v>19</v>
      </c>
      <c r="M187">
        <f t="shared" si="2"/>
        <v>0.53928571428571426</v>
      </c>
    </row>
    <row r="188" spans="1:13" x14ac:dyDescent="0.35">
      <c r="A188" s="2">
        <v>1082</v>
      </c>
      <c r="B188" s="2">
        <v>187</v>
      </c>
      <c r="C188" s="2" t="s">
        <v>385</v>
      </c>
      <c r="D188" s="2">
        <v>67</v>
      </c>
      <c r="E188" s="2" t="str" cm="1">
        <f t="array" ref="E188">_xlfn.IFS(D188&gt;=60,"Senior",D188&gt;=23,"Adult",D188&gt;=18,"Teenager")</f>
        <v>Senior</v>
      </c>
      <c r="F188" s="2" t="s">
        <v>9</v>
      </c>
      <c r="G188" s="3">
        <v>45857</v>
      </c>
      <c r="H188" s="3">
        <v>45394</v>
      </c>
      <c r="I188" s="2" t="s">
        <v>386</v>
      </c>
      <c r="J188" s="2" t="s">
        <v>11</v>
      </c>
      <c r="K188" s="2">
        <v>14335.68</v>
      </c>
      <c r="L188" s="2" t="s">
        <v>19</v>
      </c>
      <c r="M188">
        <f t="shared" si="2"/>
        <v>0.5376344086021505</v>
      </c>
    </row>
    <row r="189" spans="1:13" x14ac:dyDescent="0.35">
      <c r="A189" s="2">
        <v>1085</v>
      </c>
      <c r="B189" s="2">
        <v>188</v>
      </c>
      <c r="C189" s="2" t="s">
        <v>387</v>
      </c>
      <c r="D189" s="2">
        <v>69</v>
      </c>
      <c r="E189" s="2" t="str" cm="1">
        <f t="array" ref="E189">_xlfn.IFS(D189&gt;=60,"Senior",D189&gt;=23,"Adult",D189&gt;=18,"Teenager")</f>
        <v>Senior</v>
      </c>
      <c r="F189" s="2" t="s">
        <v>14</v>
      </c>
      <c r="G189" s="3">
        <v>46097</v>
      </c>
      <c r="H189" s="3">
        <v>45462</v>
      </c>
      <c r="I189" s="2" t="s">
        <v>388</v>
      </c>
      <c r="J189" s="2" t="s">
        <v>11</v>
      </c>
      <c r="K189" s="2">
        <v>39630.720000000001</v>
      </c>
      <c r="L189" s="2" t="s">
        <v>12</v>
      </c>
      <c r="M189">
        <f t="shared" si="2"/>
        <v>0.53597122302158273</v>
      </c>
    </row>
    <row r="190" spans="1:13" x14ac:dyDescent="0.35">
      <c r="A190" s="2">
        <v>1089</v>
      </c>
      <c r="B190" s="2">
        <v>189</v>
      </c>
      <c r="C190" s="2" t="s">
        <v>389</v>
      </c>
      <c r="D190" s="2">
        <v>80</v>
      </c>
      <c r="E190" s="2" t="str" cm="1">
        <f t="array" ref="E190">_xlfn.IFS(D190&gt;=60,"Senior",D190&gt;=23,"Adult",D190&gt;=18,"Teenager")</f>
        <v>Senior</v>
      </c>
      <c r="F190" s="2" t="s">
        <v>14</v>
      </c>
      <c r="G190" s="3">
        <v>45912</v>
      </c>
      <c r="H190" s="3">
        <v>45951</v>
      </c>
      <c r="I190" s="2" t="s">
        <v>390</v>
      </c>
      <c r="J190" s="2" t="s">
        <v>26</v>
      </c>
      <c r="K190" s="2">
        <v>451.66</v>
      </c>
      <c r="L190" s="2" t="s">
        <v>12</v>
      </c>
      <c r="M190">
        <f t="shared" si="2"/>
        <v>0.53790613718411551</v>
      </c>
    </row>
    <row r="191" spans="1:13" x14ac:dyDescent="0.35">
      <c r="A191" s="2">
        <v>1030</v>
      </c>
      <c r="B191" s="2">
        <v>190</v>
      </c>
      <c r="C191" s="2" t="s">
        <v>391</v>
      </c>
      <c r="D191" s="2">
        <v>18</v>
      </c>
      <c r="E191" s="2" t="str" cm="1">
        <f t="array" ref="E191">_xlfn.IFS(D191&gt;=60,"Senior",D191&gt;=23,"Adult",D191&gt;=18,"Teenager")</f>
        <v>Teenager</v>
      </c>
      <c r="F191" s="2" t="s">
        <v>14</v>
      </c>
      <c r="G191" s="3">
        <v>46079</v>
      </c>
      <c r="H191" s="3">
        <v>45847</v>
      </c>
      <c r="I191" s="2" t="s">
        <v>392</v>
      </c>
      <c r="J191" s="2" t="s">
        <v>33</v>
      </c>
      <c r="K191" s="2">
        <v>11243.52</v>
      </c>
      <c r="L191" s="2" t="s">
        <v>19</v>
      </c>
      <c r="M191">
        <f t="shared" si="2"/>
        <v>0.53985507246376807</v>
      </c>
    </row>
    <row r="192" spans="1:13" x14ac:dyDescent="0.35">
      <c r="A192" s="2">
        <v>1088</v>
      </c>
      <c r="B192" s="2">
        <v>191</v>
      </c>
      <c r="C192" s="2" t="s">
        <v>393</v>
      </c>
      <c r="D192" s="2">
        <v>80</v>
      </c>
      <c r="E192" s="2" t="str" cm="1">
        <f t="array" ref="E192">_xlfn.IFS(D192&gt;=60,"Senior",D192&gt;=23,"Adult",D192&gt;=18,"Teenager")</f>
        <v>Senior</v>
      </c>
      <c r="F192" s="2" t="s">
        <v>14</v>
      </c>
      <c r="G192" s="3">
        <v>46087</v>
      </c>
      <c r="H192" s="3">
        <v>45826</v>
      </c>
      <c r="I192" s="2" t="s">
        <v>394</v>
      </c>
      <c r="J192" s="2" t="s">
        <v>26</v>
      </c>
      <c r="K192" s="2">
        <v>460.11</v>
      </c>
      <c r="L192" s="2" t="s">
        <v>19</v>
      </c>
      <c r="M192">
        <f t="shared" si="2"/>
        <v>0.53818181818181821</v>
      </c>
    </row>
    <row r="193" spans="1:13" x14ac:dyDescent="0.35">
      <c r="A193" s="2">
        <v>1081</v>
      </c>
      <c r="B193" s="2">
        <v>192</v>
      </c>
      <c r="C193" s="2" t="s">
        <v>395</v>
      </c>
      <c r="D193" s="2">
        <v>27</v>
      </c>
      <c r="E193" s="2" t="str" cm="1">
        <f t="array" ref="E193">_xlfn.IFS(D193&gt;=60,"Senior",D193&gt;=23,"Adult",D193&gt;=18,"Teenager")</f>
        <v>Adult</v>
      </c>
      <c r="F193" s="2" t="s">
        <v>9</v>
      </c>
      <c r="G193" s="3">
        <v>45854</v>
      </c>
      <c r="H193" s="3">
        <v>45821</v>
      </c>
      <c r="I193" s="2" t="s">
        <v>396</v>
      </c>
      <c r="J193" s="2" t="s">
        <v>33</v>
      </c>
      <c r="K193" s="2">
        <v>288.43</v>
      </c>
      <c r="L193" s="2" t="s">
        <v>19</v>
      </c>
      <c r="M193">
        <f t="shared" si="2"/>
        <v>0.53649635036496346</v>
      </c>
    </row>
    <row r="194" spans="1:13" x14ac:dyDescent="0.35">
      <c r="A194" s="2">
        <v>1034</v>
      </c>
      <c r="B194" s="2">
        <v>193</v>
      </c>
      <c r="C194" s="2" t="s">
        <v>397</v>
      </c>
      <c r="D194" s="2">
        <v>75</v>
      </c>
      <c r="E194" s="2" t="str" cm="1">
        <f t="array" ref="E194">_xlfn.IFS(D194&gt;=60,"Senior",D194&gt;=23,"Adult",D194&gt;=18,"Teenager")</f>
        <v>Senior</v>
      </c>
      <c r="F194" s="2" t="s">
        <v>9</v>
      </c>
      <c r="G194" s="3">
        <v>45813</v>
      </c>
      <c r="H194" s="3">
        <v>45677</v>
      </c>
      <c r="I194" s="2" t="s">
        <v>398</v>
      </c>
      <c r="J194" s="2" t="s">
        <v>26</v>
      </c>
      <c r="K194" s="2">
        <v>180.6</v>
      </c>
      <c r="L194" s="2" t="s">
        <v>19</v>
      </c>
      <c r="M194">
        <f t="shared" si="2"/>
        <v>0.53479853479853479</v>
      </c>
    </row>
    <row r="195" spans="1:13" x14ac:dyDescent="0.35">
      <c r="A195" s="2">
        <v>1027</v>
      </c>
      <c r="B195" s="2">
        <v>194</v>
      </c>
      <c r="C195" s="2" t="s">
        <v>399</v>
      </c>
      <c r="D195" s="2">
        <v>63</v>
      </c>
      <c r="E195" s="2" t="str" cm="1">
        <f t="array" ref="E195">_xlfn.IFS(D195&gt;=60,"Senior",D195&gt;=23,"Adult",D195&gt;=18,"Teenager")</f>
        <v>Senior</v>
      </c>
      <c r="F195" s="2" t="s">
        <v>14</v>
      </c>
      <c r="G195" s="3">
        <v>45907</v>
      </c>
      <c r="H195" s="3">
        <v>45504</v>
      </c>
      <c r="I195" s="2" t="s">
        <v>400</v>
      </c>
      <c r="J195" s="2" t="s">
        <v>33</v>
      </c>
      <c r="K195" s="2">
        <v>318.88</v>
      </c>
      <c r="L195" s="2" t="s">
        <v>19</v>
      </c>
      <c r="M195">
        <f t="shared" ref="M195:M258" si="3">COUNTIF(L195:L659,"Yes")/COUNTA(L195:L659)</f>
        <v>0.53308823529411764</v>
      </c>
    </row>
    <row r="196" spans="1:13" x14ac:dyDescent="0.35">
      <c r="A196" s="2">
        <v>1067</v>
      </c>
      <c r="B196" s="2">
        <v>195</v>
      </c>
      <c r="C196" s="2" t="s">
        <v>255</v>
      </c>
      <c r="D196" s="2">
        <v>54</v>
      </c>
      <c r="E196" s="2" t="str" cm="1">
        <f t="array" ref="E196">_xlfn.IFS(D196&gt;=60,"Senior",D196&gt;=23,"Adult",D196&gt;=18,"Teenager")</f>
        <v>Adult</v>
      </c>
      <c r="F196" s="2" t="s">
        <v>9</v>
      </c>
      <c r="G196" s="3">
        <v>45911</v>
      </c>
      <c r="H196" s="3">
        <v>45905</v>
      </c>
      <c r="I196" s="2" t="s">
        <v>401</v>
      </c>
      <c r="J196" s="2" t="s">
        <v>26</v>
      </c>
      <c r="K196" s="2">
        <v>10455.36</v>
      </c>
      <c r="L196" s="2" t="s">
        <v>12</v>
      </c>
      <c r="M196">
        <f t="shared" si="3"/>
        <v>0.53136531365313655</v>
      </c>
    </row>
    <row r="197" spans="1:13" x14ac:dyDescent="0.35">
      <c r="A197" s="2">
        <v>1058</v>
      </c>
      <c r="B197" s="2">
        <v>196</v>
      </c>
      <c r="C197" s="2" t="s">
        <v>402</v>
      </c>
      <c r="D197" s="2">
        <v>84</v>
      </c>
      <c r="E197" s="2" t="str" cm="1">
        <f t="array" ref="E197">_xlfn.IFS(D197&gt;=60,"Senior",D197&gt;=23,"Adult",D197&gt;=18,"Teenager")</f>
        <v>Senior</v>
      </c>
      <c r="F197" s="2" t="s">
        <v>9</v>
      </c>
      <c r="G197" s="3">
        <v>45954</v>
      </c>
      <c r="H197" s="3">
        <v>45743</v>
      </c>
      <c r="I197" s="2" t="s">
        <v>403</v>
      </c>
      <c r="J197" s="2" t="s">
        <v>16</v>
      </c>
      <c r="K197" s="2">
        <v>38070.720000000001</v>
      </c>
      <c r="L197" s="2" t="s">
        <v>19</v>
      </c>
      <c r="M197">
        <f t="shared" si="3"/>
        <v>0.53333333333333333</v>
      </c>
    </row>
    <row r="198" spans="1:13" x14ac:dyDescent="0.35">
      <c r="A198" s="2">
        <v>1080</v>
      </c>
      <c r="B198" s="2">
        <v>197</v>
      </c>
      <c r="C198" s="2" t="s">
        <v>404</v>
      </c>
      <c r="D198" s="2">
        <v>45</v>
      </c>
      <c r="E198" s="2" t="str" cm="1">
        <f t="array" ref="E198">_xlfn.IFS(D198&gt;=60,"Senior",D198&gt;=23,"Adult",D198&gt;=18,"Teenager")</f>
        <v>Adult</v>
      </c>
      <c r="F198" s="2" t="s">
        <v>9</v>
      </c>
      <c r="G198" s="3">
        <v>45972</v>
      </c>
      <c r="H198" s="3">
        <v>45818</v>
      </c>
      <c r="I198" s="2" t="s">
        <v>405</v>
      </c>
      <c r="J198" s="2" t="s">
        <v>26</v>
      </c>
      <c r="K198" s="2">
        <v>185.29</v>
      </c>
      <c r="L198" s="2" t="s">
        <v>12</v>
      </c>
      <c r="M198">
        <f t="shared" si="3"/>
        <v>0.53159851301115246</v>
      </c>
    </row>
    <row r="199" spans="1:13" x14ac:dyDescent="0.35">
      <c r="A199" s="2">
        <v>1026</v>
      </c>
      <c r="B199" s="2">
        <v>198</v>
      </c>
      <c r="C199" s="2" t="s">
        <v>406</v>
      </c>
      <c r="D199" s="2">
        <v>47</v>
      </c>
      <c r="E199" s="2" t="str" cm="1">
        <f t="array" ref="E199">_xlfn.IFS(D199&gt;=60,"Senior",D199&gt;=23,"Adult",D199&gt;=18,"Teenager")</f>
        <v>Adult</v>
      </c>
      <c r="F199" s="2" t="s">
        <v>9</v>
      </c>
      <c r="G199" s="3">
        <v>46070</v>
      </c>
      <c r="H199" s="3">
        <v>45421</v>
      </c>
      <c r="I199" s="2" t="s">
        <v>407</v>
      </c>
      <c r="J199" s="2" t="s">
        <v>26</v>
      </c>
      <c r="K199" s="2">
        <v>20725.439999999999</v>
      </c>
      <c r="L199" s="2" t="s">
        <v>12</v>
      </c>
      <c r="M199">
        <f t="shared" si="3"/>
        <v>0.53358208955223885</v>
      </c>
    </row>
    <row r="200" spans="1:13" x14ac:dyDescent="0.35">
      <c r="A200" s="2">
        <v>1036</v>
      </c>
      <c r="B200" s="2">
        <v>199</v>
      </c>
      <c r="C200" s="2" t="s">
        <v>408</v>
      </c>
      <c r="D200" s="2">
        <v>59</v>
      </c>
      <c r="E200" s="2" t="str" cm="1">
        <f t="array" ref="E200">_xlfn.IFS(D200&gt;=60,"Senior",D200&gt;=23,"Adult",D200&gt;=18,"Teenager")</f>
        <v>Adult</v>
      </c>
      <c r="F200" s="2" t="s">
        <v>14</v>
      </c>
      <c r="G200" s="3">
        <v>45946</v>
      </c>
      <c r="H200" s="3">
        <v>45411</v>
      </c>
      <c r="I200" s="2" t="s">
        <v>409</v>
      </c>
      <c r="J200" s="2" t="s">
        <v>26</v>
      </c>
      <c r="K200" s="2">
        <v>27402.240000000002</v>
      </c>
      <c r="L200" s="2" t="s">
        <v>19</v>
      </c>
      <c r="M200">
        <f t="shared" si="3"/>
        <v>0.53558052434456926</v>
      </c>
    </row>
    <row r="201" spans="1:13" x14ac:dyDescent="0.35">
      <c r="A201" s="2">
        <v>1017</v>
      </c>
      <c r="B201" s="2">
        <v>200</v>
      </c>
      <c r="C201" s="2" t="s">
        <v>410</v>
      </c>
      <c r="D201" s="2">
        <v>34</v>
      </c>
      <c r="E201" s="2" t="str" cm="1">
        <f t="array" ref="E201">_xlfn.IFS(D201&gt;=60,"Senior",D201&gt;=23,"Adult",D201&gt;=18,"Teenager")</f>
        <v>Adult</v>
      </c>
      <c r="F201" s="2" t="s">
        <v>9</v>
      </c>
      <c r="G201" s="3">
        <v>45858</v>
      </c>
      <c r="H201" s="3">
        <v>45791</v>
      </c>
      <c r="I201" s="2" t="s">
        <v>411</v>
      </c>
      <c r="J201" s="2" t="s">
        <v>11</v>
      </c>
      <c r="K201" s="2">
        <v>202.92</v>
      </c>
      <c r="L201" s="2" t="s">
        <v>12</v>
      </c>
      <c r="M201">
        <f t="shared" si="3"/>
        <v>0.53383458646616544</v>
      </c>
    </row>
    <row r="202" spans="1:13" x14ac:dyDescent="0.35">
      <c r="A202" s="2">
        <v>1059</v>
      </c>
      <c r="B202" s="2">
        <v>201</v>
      </c>
      <c r="C202" s="2" t="s">
        <v>412</v>
      </c>
      <c r="D202" s="2">
        <v>84</v>
      </c>
      <c r="E202" s="2" t="str" cm="1">
        <f t="array" ref="E202">_xlfn.IFS(D202&gt;=60,"Senior",D202&gt;=23,"Adult",D202&gt;=18,"Teenager")</f>
        <v>Senior</v>
      </c>
      <c r="F202" s="2" t="s">
        <v>9</v>
      </c>
      <c r="G202" s="3">
        <v>46097</v>
      </c>
      <c r="H202" s="3">
        <v>45630</v>
      </c>
      <c r="I202" s="2" t="s">
        <v>413</v>
      </c>
      <c r="J202" s="2" t="s">
        <v>16</v>
      </c>
      <c r="K202" s="2">
        <v>23489.279999999999</v>
      </c>
      <c r="L202" s="2" t="s">
        <v>19</v>
      </c>
      <c r="M202">
        <f t="shared" si="3"/>
        <v>0.53584905660377358</v>
      </c>
    </row>
    <row r="203" spans="1:13" x14ac:dyDescent="0.35">
      <c r="A203" s="2">
        <v>1012</v>
      </c>
      <c r="B203" s="2">
        <v>202</v>
      </c>
      <c r="C203" s="2" t="s">
        <v>414</v>
      </c>
      <c r="D203" s="2">
        <v>30</v>
      </c>
      <c r="E203" s="2" t="str" cm="1">
        <f t="array" ref="E203">_xlfn.IFS(D203&gt;=60,"Senior",D203&gt;=23,"Adult",D203&gt;=18,"Teenager")</f>
        <v>Adult</v>
      </c>
      <c r="F203" s="2" t="s">
        <v>9</v>
      </c>
      <c r="G203" s="3">
        <v>46030</v>
      </c>
      <c r="H203" s="3">
        <v>45888</v>
      </c>
      <c r="I203" s="2" t="s">
        <v>415</v>
      </c>
      <c r="J203" s="2" t="s">
        <v>26</v>
      </c>
      <c r="K203" s="2">
        <v>6787.2</v>
      </c>
      <c r="L203" s="2" t="s">
        <v>19</v>
      </c>
      <c r="M203">
        <f t="shared" si="3"/>
        <v>0.53409090909090906</v>
      </c>
    </row>
    <row r="204" spans="1:13" x14ac:dyDescent="0.35">
      <c r="A204" s="2">
        <v>1082</v>
      </c>
      <c r="B204" s="2">
        <v>203</v>
      </c>
      <c r="C204" s="2" t="s">
        <v>416</v>
      </c>
      <c r="D204" s="2">
        <v>33</v>
      </c>
      <c r="E204" s="2" t="str" cm="1">
        <f t="array" ref="E204">_xlfn.IFS(D204&gt;=60,"Senior",D204&gt;=23,"Adult",D204&gt;=18,"Teenager")</f>
        <v>Adult</v>
      </c>
      <c r="F204" s="2" t="s">
        <v>14</v>
      </c>
      <c r="G204" s="3">
        <v>45819</v>
      </c>
      <c r="H204" s="3">
        <v>45707</v>
      </c>
      <c r="I204" s="2" t="s">
        <v>417</v>
      </c>
      <c r="J204" s="2" t="s">
        <v>16</v>
      </c>
      <c r="K204" s="2">
        <v>37224</v>
      </c>
      <c r="L204" s="2" t="s">
        <v>19</v>
      </c>
      <c r="M204">
        <f t="shared" si="3"/>
        <v>0.53231939163498099</v>
      </c>
    </row>
    <row r="205" spans="1:13" x14ac:dyDescent="0.35">
      <c r="A205" s="2">
        <v>1009</v>
      </c>
      <c r="B205" s="2">
        <v>204</v>
      </c>
      <c r="C205" s="2" t="s">
        <v>418</v>
      </c>
      <c r="D205" s="2">
        <v>63</v>
      </c>
      <c r="E205" s="2" t="str" cm="1">
        <f t="array" ref="E205">_xlfn.IFS(D205&gt;=60,"Senior",D205&gt;=23,"Adult",D205&gt;=18,"Teenager")</f>
        <v>Senior</v>
      </c>
      <c r="F205" s="2" t="s">
        <v>14</v>
      </c>
      <c r="G205" s="3">
        <v>46070</v>
      </c>
      <c r="H205" s="3">
        <v>46033</v>
      </c>
      <c r="I205" s="2" t="s">
        <v>419</v>
      </c>
      <c r="J205" s="2" t="s">
        <v>26</v>
      </c>
      <c r="K205" s="2">
        <v>176.68</v>
      </c>
      <c r="L205" s="2" t="s">
        <v>12</v>
      </c>
      <c r="M205">
        <f t="shared" si="3"/>
        <v>0.53053435114503822</v>
      </c>
    </row>
    <row r="206" spans="1:13" x14ac:dyDescent="0.35">
      <c r="A206" s="2">
        <v>1091</v>
      </c>
      <c r="B206" s="2">
        <v>205</v>
      </c>
      <c r="C206" s="2" t="s">
        <v>420</v>
      </c>
      <c r="D206" s="2">
        <v>86</v>
      </c>
      <c r="E206" s="2" t="str" cm="1">
        <f t="array" ref="E206">_xlfn.IFS(D206&gt;=60,"Senior",D206&gt;=23,"Adult",D206&gt;=18,"Teenager")</f>
        <v>Senior</v>
      </c>
      <c r="F206" s="2" t="s">
        <v>14</v>
      </c>
      <c r="G206" s="3">
        <v>46014</v>
      </c>
      <c r="H206" s="3">
        <v>45620</v>
      </c>
      <c r="I206" s="2" t="s">
        <v>421</v>
      </c>
      <c r="J206" s="2" t="s">
        <v>11</v>
      </c>
      <c r="K206" s="2">
        <v>491.64</v>
      </c>
      <c r="L206" s="2" t="s">
        <v>12</v>
      </c>
      <c r="M206">
        <f t="shared" si="3"/>
        <v>0.53256704980842917</v>
      </c>
    </row>
    <row r="207" spans="1:13" x14ac:dyDescent="0.35">
      <c r="A207" s="2">
        <v>1038</v>
      </c>
      <c r="B207" s="2">
        <v>206</v>
      </c>
      <c r="C207" s="2" t="s">
        <v>422</v>
      </c>
      <c r="D207" s="2">
        <v>54</v>
      </c>
      <c r="E207" s="2" t="str" cm="1">
        <f t="array" ref="E207">_xlfn.IFS(D207&gt;=60,"Senior",D207&gt;=23,"Adult",D207&gt;=18,"Teenager")</f>
        <v>Adult</v>
      </c>
      <c r="F207" s="2" t="s">
        <v>9</v>
      </c>
      <c r="G207" s="3">
        <v>45824</v>
      </c>
      <c r="H207" s="3">
        <v>45771</v>
      </c>
      <c r="I207" s="2" t="s">
        <v>423</v>
      </c>
      <c r="J207" s="2" t="s">
        <v>11</v>
      </c>
      <c r="K207" s="2">
        <v>31287.360000000001</v>
      </c>
      <c r="L207" s="2" t="s">
        <v>12</v>
      </c>
      <c r="M207">
        <f t="shared" si="3"/>
        <v>0.5346153846153846</v>
      </c>
    </row>
    <row r="208" spans="1:13" x14ac:dyDescent="0.35">
      <c r="A208" s="2">
        <v>1053</v>
      </c>
      <c r="B208" s="2">
        <v>207</v>
      </c>
      <c r="C208" s="2" t="s">
        <v>424</v>
      </c>
      <c r="D208" s="2">
        <v>30</v>
      </c>
      <c r="E208" s="2" t="str" cm="1">
        <f t="array" ref="E208">_xlfn.IFS(D208&gt;=60,"Senior",D208&gt;=23,"Adult",D208&gt;=18,"Teenager")</f>
        <v>Adult</v>
      </c>
      <c r="F208" s="2" t="s">
        <v>9</v>
      </c>
      <c r="G208" s="3">
        <v>46022</v>
      </c>
      <c r="H208" s="3">
        <v>45975</v>
      </c>
      <c r="I208" s="2" t="s">
        <v>425</v>
      </c>
      <c r="J208" s="2" t="s">
        <v>26</v>
      </c>
      <c r="K208" s="2">
        <v>26900.16</v>
      </c>
      <c r="L208" s="2" t="s">
        <v>19</v>
      </c>
      <c r="M208">
        <f t="shared" si="3"/>
        <v>0.53667953667953672</v>
      </c>
    </row>
    <row r="209" spans="1:13" x14ac:dyDescent="0.35">
      <c r="A209" s="2">
        <v>1043</v>
      </c>
      <c r="B209" s="2">
        <v>208</v>
      </c>
      <c r="C209" s="2" t="s">
        <v>426</v>
      </c>
      <c r="D209" s="2">
        <v>28</v>
      </c>
      <c r="E209" s="2" t="str" cm="1">
        <f t="array" ref="E209">_xlfn.IFS(D209&gt;=60,"Senior",D209&gt;=23,"Adult",D209&gt;=18,"Teenager")</f>
        <v>Adult</v>
      </c>
      <c r="F209" s="2" t="s">
        <v>9</v>
      </c>
      <c r="G209" s="3">
        <v>45927</v>
      </c>
      <c r="H209" s="3">
        <v>45827</v>
      </c>
      <c r="I209" s="2" t="s">
        <v>427</v>
      </c>
      <c r="J209" s="2" t="s">
        <v>11</v>
      </c>
      <c r="K209" s="2">
        <v>88.29</v>
      </c>
      <c r="L209" s="2" t="s">
        <v>12</v>
      </c>
      <c r="M209">
        <f t="shared" si="3"/>
        <v>0.53488372093023251</v>
      </c>
    </row>
    <row r="210" spans="1:13" x14ac:dyDescent="0.35">
      <c r="A210" s="2">
        <v>1021</v>
      </c>
      <c r="B210" s="2">
        <v>209</v>
      </c>
      <c r="C210" s="2" t="s">
        <v>428</v>
      </c>
      <c r="D210" s="2">
        <v>53</v>
      </c>
      <c r="E210" s="2" t="str" cm="1">
        <f t="array" ref="E210">_xlfn.IFS(D210&gt;=60,"Senior",D210&gt;=23,"Adult",D210&gt;=18,"Teenager")</f>
        <v>Adult</v>
      </c>
      <c r="F210" s="2" t="s">
        <v>14</v>
      </c>
      <c r="G210" s="3">
        <v>46069</v>
      </c>
      <c r="H210" s="3">
        <v>45751</v>
      </c>
      <c r="I210" s="2" t="s">
        <v>429</v>
      </c>
      <c r="J210" s="2" t="s">
        <v>16</v>
      </c>
      <c r="K210" s="2">
        <v>42600</v>
      </c>
      <c r="L210" s="2" t="s">
        <v>19</v>
      </c>
      <c r="M210">
        <f t="shared" si="3"/>
        <v>0.53696498054474706</v>
      </c>
    </row>
    <row r="211" spans="1:13" x14ac:dyDescent="0.35">
      <c r="A211" s="2">
        <v>1059</v>
      </c>
      <c r="B211" s="2">
        <v>210</v>
      </c>
      <c r="C211" s="2" t="s">
        <v>430</v>
      </c>
      <c r="D211" s="2">
        <v>57</v>
      </c>
      <c r="E211" s="2" t="str" cm="1">
        <f t="array" ref="E211">_xlfn.IFS(D211&gt;=60,"Senior",D211&gt;=23,"Adult",D211&gt;=18,"Teenager")</f>
        <v>Adult</v>
      </c>
      <c r="F211" s="2" t="s">
        <v>14</v>
      </c>
      <c r="G211" s="3">
        <v>45896</v>
      </c>
      <c r="H211" s="3">
        <v>45387</v>
      </c>
      <c r="I211" s="2" t="s">
        <v>431</v>
      </c>
      <c r="J211" s="2" t="s">
        <v>26</v>
      </c>
      <c r="K211" s="2">
        <v>37018.559999999998</v>
      </c>
      <c r="L211" s="2" t="s">
        <v>19</v>
      </c>
      <c r="M211">
        <f t="shared" si="3"/>
        <v>0.53515625</v>
      </c>
    </row>
    <row r="212" spans="1:13" x14ac:dyDescent="0.35">
      <c r="A212" s="2">
        <v>1038</v>
      </c>
      <c r="B212" s="2">
        <v>211</v>
      </c>
      <c r="C212" s="2" t="s">
        <v>432</v>
      </c>
      <c r="D212" s="2">
        <v>19</v>
      </c>
      <c r="E212" s="2" t="str" cm="1">
        <f t="array" ref="E212">_xlfn.IFS(D212&gt;=60,"Senior",D212&gt;=23,"Adult",D212&gt;=18,"Teenager")</f>
        <v>Teenager</v>
      </c>
      <c r="F212" s="2" t="s">
        <v>9</v>
      </c>
      <c r="G212" s="3">
        <v>45790</v>
      </c>
      <c r="H212" s="3">
        <v>45491</v>
      </c>
      <c r="I212" s="2" t="s">
        <v>433</v>
      </c>
      <c r="J212" s="2" t="s">
        <v>26</v>
      </c>
      <c r="K212" s="2">
        <v>350.5</v>
      </c>
      <c r="L212" s="2" t="s">
        <v>19</v>
      </c>
      <c r="M212">
        <f t="shared" si="3"/>
        <v>0.53333333333333333</v>
      </c>
    </row>
    <row r="213" spans="1:13" x14ac:dyDescent="0.35">
      <c r="A213" s="2">
        <v>1065</v>
      </c>
      <c r="B213" s="2">
        <v>212</v>
      </c>
      <c r="C213" s="2" t="s">
        <v>434</v>
      </c>
      <c r="D213" s="2">
        <v>75</v>
      </c>
      <c r="E213" s="2" t="str" cm="1">
        <f t="array" ref="E213">_xlfn.IFS(D213&gt;=60,"Senior",D213&gt;=23,"Adult",D213&gt;=18,"Teenager")</f>
        <v>Senior</v>
      </c>
      <c r="F213" s="2" t="s">
        <v>14</v>
      </c>
      <c r="G213" s="3">
        <v>46005</v>
      </c>
      <c r="H213" s="3">
        <v>45442</v>
      </c>
      <c r="I213" s="2" t="s">
        <v>435</v>
      </c>
      <c r="J213" s="2" t="s">
        <v>33</v>
      </c>
      <c r="K213" s="2">
        <v>24533.759999999998</v>
      </c>
      <c r="L213" s="2" t="s">
        <v>19</v>
      </c>
      <c r="M213">
        <f t="shared" si="3"/>
        <v>0.53149606299212604</v>
      </c>
    </row>
    <row r="214" spans="1:13" x14ac:dyDescent="0.35">
      <c r="A214" s="2">
        <v>1081</v>
      </c>
      <c r="B214" s="2">
        <v>213</v>
      </c>
      <c r="C214" s="2" t="s">
        <v>436</v>
      </c>
      <c r="D214" s="2">
        <v>42</v>
      </c>
      <c r="E214" s="2" t="str" cm="1">
        <f t="array" ref="E214">_xlfn.IFS(D214&gt;=60,"Senior",D214&gt;=23,"Adult",D214&gt;=18,"Teenager")</f>
        <v>Adult</v>
      </c>
      <c r="F214" s="2" t="s">
        <v>9</v>
      </c>
      <c r="G214" s="3">
        <v>46096</v>
      </c>
      <c r="H214" s="3">
        <v>45435</v>
      </c>
      <c r="I214" s="2" t="s">
        <v>437</v>
      </c>
      <c r="J214" s="2" t="s">
        <v>26</v>
      </c>
      <c r="K214" s="2">
        <v>189.02</v>
      </c>
      <c r="L214" s="2" t="s">
        <v>19</v>
      </c>
      <c r="M214">
        <f t="shared" si="3"/>
        <v>0.52964426877470361</v>
      </c>
    </row>
    <row r="215" spans="1:13" x14ac:dyDescent="0.35">
      <c r="A215" s="2">
        <v>1093</v>
      </c>
      <c r="B215" s="2">
        <v>214</v>
      </c>
      <c r="C215" s="2" t="s">
        <v>438</v>
      </c>
      <c r="D215" s="2">
        <v>81</v>
      </c>
      <c r="E215" s="2" t="str" cm="1">
        <f t="array" ref="E215">_xlfn.IFS(D215&gt;=60,"Senior",D215&gt;=23,"Adult",D215&gt;=18,"Teenager")</f>
        <v>Senior</v>
      </c>
      <c r="F215" s="2" t="s">
        <v>9</v>
      </c>
      <c r="G215" s="3">
        <v>46060</v>
      </c>
      <c r="H215" s="3">
        <v>45470</v>
      </c>
      <c r="I215" s="2" t="s">
        <v>439</v>
      </c>
      <c r="J215" s="2" t="s">
        <v>11</v>
      </c>
      <c r="K215" s="2">
        <v>47104.32</v>
      </c>
      <c r="L215" s="2" t="s">
        <v>19</v>
      </c>
      <c r="M215">
        <f t="shared" si="3"/>
        <v>0.52777777777777779</v>
      </c>
    </row>
    <row r="216" spans="1:13" x14ac:dyDescent="0.35">
      <c r="A216" s="2">
        <v>1071</v>
      </c>
      <c r="B216" s="2">
        <v>215</v>
      </c>
      <c r="C216" s="2" t="s">
        <v>440</v>
      </c>
      <c r="D216" s="2">
        <v>80</v>
      </c>
      <c r="E216" s="2" t="str" cm="1">
        <f t="array" ref="E216">_xlfn.IFS(D216&gt;=60,"Senior",D216&gt;=23,"Adult",D216&gt;=18,"Teenager")</f>
        <v>Senior</v>
      </c>
      <c r="F216" s="2" t="s">
        <v>9</v>
      </c>
      <c r="G216" s="3">
        <v>45867</v>
      </c>
      <c r="H216" s="3">
        <v>45396</v>
      </c>
      <c r="I216" s="2" t="s">
        <v>441</v>
      </c>
      <c r="J216" s="2" t="s">
        <v>16</v>
      </c>
      <c r="K216" s="2">
        <v>10141.44</v>
      </c>
      <c r="L216" s="2" t="s">
        <v>12</v>
      </c>
      <c r="M216">
        <f t="shared" si="3"/>
        <v>0.52589641434262946</v>
      </c>
    </row>
    <row r="217" spans="1:13" x14ac:dyDescent="0.35">
      <c r="A217" s="2">
        <v>1090</v>
      </c>
      <c r="B217" s="2">
        <v>216</v>
      </c>
      <c r="C217" s="2" t="s">
        <v>442</v>
      </c>
      <c r="D217" s="2">
        <v>37</v>
      </c>
      <c r="E217" s="2" t="str" cm="1">
        <f t="array" ref="E217">_xlfn.IFS(D217&gt;=60,"Senior",D217&gt;=23,"Adult",D217&gt;=18,"Teenager")</f>
        <v>Adult</v>
      </c>
      <c r="F217" s="2" t="s">
        <v>14</v>
      </c>
      <c r="G217" s="3">
        <v>46081</v>
      </c>
      <c r="H217" s="3">
        <v>45400</v>
      </c>
      <c r="I217" s="2" t="s">
        <v>443</v>
      </c>
      <c r="J217" s="2" t="s">
        <v>11</v>
      </c>
      <c r="K217" s="2">
        <v>77.2</v>
      </c>
      <c r="L217" s="2" t="s">
        <v>12</v>
      </c>
      <c r="M217">
        <f t="shared" si="3"/>
        <v>0.52800000000000002</v>
      </c>
    </row>
    <row r="218" spans="1:13" x14ac:dyDescent="0.35">
      <c r="A218" s="2">
        <v>1092</v>
      </c>
      <c r="B218" s="2">
        <v>217</v>
      </c>
      <c r="C218" s="2" t="s">
        <v>444</v>
      </c>
      <c r="D218" s="2">
        <v>79</v>
      </c>
      <c r="E218" s="2" t="str" cm="1">
        <f t="array" ref="E218">_xlfn.IFS(D218&gt;=60,"Senior",D218&gt;=23,"Adult",D218&gt;=18,"Teenager")</f>
        <v>Senior</v>
      </c>
      <c r="F218" s="2" t="s">
        <v>14</v>
      </c>
      <c r="G218" s="3">
        <v>45909</v>
      </c>
      <c r="H218" s="3">
        <v>45690</v>
      </c>
      <c r="I218" s="2" t="s">
        <v>445</v>
      </c>
      <c r="J218" s="2" t="s">
        <v>16</v>
      </c>
      <c r="K218" s="2">
        <v>46806.720000000001</v>
      </c>
      <c r="L218" s="2" t="s">
        <v>12</v>
      </c>
      <c r="M218">
        <f t="shared" si="3"/>
        <v>0.53012048192771088</v>
      </c>
    </row>
    <row r="219" spans="1:13" x14ac:dyDescent="0.35">
      <c r="A219" s="2">
        <v>1083</v>
      </c>
      <c r="B219" s="2">
        <v>218</v>
      </c>
      <c r="C219" s="2" t="s">
        <v>446</v>
      </c>
      <c r="D219" s="2">
        <v>56</v>
      </c>
      <c r="E219" s="2" t="str" cm="1">
        <f t="array" ref="E219">_xlfn.IFS(D219&gt;=60,"Senior",D219&gt;=23,"Adult",D219&gt;=18,"Teenager")</f>
        <v>Adult</v>
      </c>
      <c r="F219" s="2" t="s">
        <v>9</v>
      </c>
      <c r="G219" s="3">
        <v>45979</v>
      </c>
      <c r="H219" s="3">
        <v>45695</v>
      </c>
      <c r="I219" s="2" t="s">
        <v>447</v>
      </c>
      <c r="J219" s="2" t="s">
        <v>26</v>
      </c>
      <c r="K219" s="2">
        <v>412.44</v>
      </c>
      <c r="L219" s="2" t="s">
        <v>12</v>
      </c>
      <c r="M219">
        <f t="shared" si="3"/>
        <v>0.532258064516129</v>
      </c>
    </row>
    <row r="220" spans="1:13" x14ac:dyDescent="0.35">
      <c r="A220" s="2">
        <v>1018</v>
      </c>
      <c r="B220" s="2">
        <v>219</v>
      </c>
      <c r="C220" s="2" t="s">
        <v>448</v>
      </c>
      <c r="D220" s="2">
        <v>54</v>
      </c>
      <c r="E220" s="2" t="str" cm="1">
        <f t="array" ref="E220">_xlfn.IFS(D220&gt;=60,"Senior",D220&gt;=23,"Adult",D220&gt;=18,"Teenager")</f>
        <v>Adult</v>
      </c>
      <c r="F220" s="2" t="s">
        <v>14</v>
      </c>
      <c r="G220" s="3">
        <v>45951</v>
      </c>
      <c r="H220" s="3">
        <v>45965</v>
      </c>
      <c r="I220" s="2" t="s">
        <v>449</v>
      </c>
      <c r="J220" s="2" t="s">
        <v>11</v>
      </c>
      <c r="K220" s="2">
        <v>24242.880000000001</v>
      </c>
      <c r="L220" s="2" t="s">
        <v>19</v>
      </c>
      <c r="M220">
        <f t="shared" si="3"/>
        <v>0.53441295546558709</v>
      </c>
    </row>
    <row r="221" spans="1:13" x14ac:dyDescent="0.35">
      <c r="A221" s="2">
        <v>1084</v>
      </c>
      <c r="B221" s="2">
        <v>220</v>
      </c>
      <c r="C221" s="2" t="s">
        <v>450</v>
      </c>
      <c r="D221" s="2">
        <v>84</v>
      </c>
      <c r="E221" s="2" t="str" cm="1">
        <f t="array" ref="E221">_xlfn.IFS(D221&gt;=60,"Senior",D221&gt;=23,"Adult",D221&gt;=18,"Teenager")</f>
        <v>Senior</v>
      </c>
      <c r="F221" s="2" t="s">
        <v>9</v>
      </c>
      <c r="G221" s="3">
        <v>45801</v>
      </c>
      <c r="H221" s="3">
        <v>45422</v>
      </c>
      <c r="I221" s="2" t="s">
        <v>451</v>
      </c>
      <c r="J221" s="2" t="s">
        <v>11</v>
      </c>
      <c r="K221" s="2">
        <v>347.94</v>
      </c>
      <c r="L221" s="2" t="s">
        <v>19</v>
      </c>
      <c r="M221">
        <f t="shared" si="3"/>
        <v>0.53252032520325199</v>
      </c>
    </row>
    <row r="222" spans="1:13" x14ac:dyDescent="0.35">
      <c r="A222" s="2">
        <v>1083</v>
      </c>
      <c r="B222" s="2">
        <v>221</v>
      </c>
      <c r="C222" s="2" t="s">
        <v>452</v>
      </c>
      <c r="D222" s="2">
        <v>59</v>
      </c>
      <c r="E222" s="2" t="str" cm="1">
        <f t="array" ref="E222">_xlfn.IFS(D222&gt;=60,"Senior",D222&gt;=23,"Adult",D222&gt;=18,"Teenager")</f>
        <v>Adult</v>
      </c>
      <c r="F222" s="2" t="s">
        <v>14</v>
      </c>
      <c r="G222" s="3">
        <v>45918</v>
      </c>
      <c r="H222" s="3">
        <v>45458</v>
      </c>
      <c r="I222" s="2" t="s">
        <v>453</v>
      </c>
      <c r="J222" s="2" t="s">
        <v>16</v>
      </c>
      <c r="K222" s="2">
        <v>219.5</v>
      </c>
      <c r="L222" s="2" t="s">
        <v>19</v>
      </c>
      <c r="M222">
        <f t="shared" si="3"/>
        <v>0.53061224489795922</v>
      </c>
    </row>
    <row r="223" spans="1:13" x14ac:dyDescent="0.35">
      <c r="A223" s="2">
        <v>1080</v>
      </c>
      <c r="B223" s="2">
        <v>222</v>
      </c>
      <c r="C223" s="2" t="s">
        <v>454</v>
      </c>
      <c r="D223" s="2">
        <v>38</v>
      </c>
      <c r="E223" s="2" t="str" cm="1">
        <f t="array" ref="E223">_xlfn.IFS(D223&gt;=60,"Senior",D223&gt;=23,"Adult",D223&gt;=18,"Teenager")</f>
        <v>Adult</v>
      </c>
      <c r="F223" s="2" t="s">
        <v>14</v>
      </c>
      <c r="G223" s="3">
        <v>45808</v>
      </c>
      <c r="H223" s="3">
        <v>45438</v>
      </c>
      <c r="I223" s="2" t="s">
        <v>455</v>
      </c>
      <c r="J223" s="2" t="s">
        <v>33</v>
      </c>
      <c r="K223" s="2">
        <v>318.14999999999998</v>
      </c>
      <c r="L223" s="2" t="s">
        <v>19</v>
      </c>
      <c r="M223">
        <f t="shared" si="3"/>
        <v>0.52868852459016391</v>
      </c>
    </row>
    <row r="224" spans="1:13" x14ac:dyDescent="0.35">
      <c r="A224" s="2">
        <v>1089</v>
      </c>
      <c r="B224" s="2">
        <v>223</v>
      </c>
      <c r="C224" s="2" t="s">
        <v>456</v>
      </c>
      <c r="D224" s="2">
        <v>23</v>
      </c>
      <c r="E224" s="2" t="str" cm="1">
        <f t="array" ref="E224">_xlfn.IFS(D224&gt;=60,"Senior",D224&gt;=23,"Adult",D224&gt;=18,"Teenager")</f>
        <v>Adult</v>
      </c>
      <c r="F224" s="2" t="s">
        <v>9</v>
      </c>
      <c r="G224" s="3">
        <v>45879</v>
      </c>
      <c r="H224" s="3">
        <v>45769</v>
      </c>
      <c r="I224" s="2" t="s">
        <v>457</v>
      </c>
      <c r="J224" s="2" t="s">
        <v>11</v>
      </c>
      <c r="K224" s="2">
        <v>33600</v>
      </c>
      <c r="L224" s="2" t="s">
        <v>12</v>
      </c>
      <c r="M224">
        <f t="shared" si="3"/>
        <v>0.52674897119341568</v>
      </c>
    </row>
    <row r="225" spans="1:13" x14ac:dyDescent="0.35">
      <c r="A225" s="2">
        <v>1070</v>
      </c>
      <c r="B225" s="2">
        <v>224</v>
      </c>
      <c r="C225" s="2" t="s">
        <v>458</v>
      </c>
      <c r="D225" s="2">
        <v>62</v>
      </c>
      <c r="E225" s="2" t="str" cm="1">
        <f t="array" ref="E225">_xlfn.IFS(D225&gt;=60,"Senior",D225&gt;=23,"Adult",D225&gt;=18,"Teenager")</f>
        <v>Senior</v>
      </c>
      <c r="F225" s="2" t="s">
        <v>9</v>
      </c>
      <c r="G225" s="3">
        <v>45909</v>
      </c>
      <c r="H225" s="3">
        <v>45621</v>
      </c>
      <c r="I225" s="2" t="s">
        <v>459</v>
      </c>
      <c r="J225" s="2" t="s">
        <v>26</v>
      </c>
      <c r="K225" s="2">
        <v>178.28</v>
      </c>
      <c r="L225" s="2" t="s">
        <v>19</v>
      </c>
      <c r="M225">
        <f t="shared" si="3"/>
        <v>0.52892561983471076</v>
      </c>
    </row>
    <row r="226" spans="1:13" x14ac:dyDescent="0.35">
      <c r="A226" s="2">
        <v>1093</v>
      </c>
      <c r="B226" s="2">
        <v>225</v>
      </c>
      <c r="C226" s="2" t="s">
        <v>460</v>
      </c>
      <c r="D226" s="2">
        <v>34</v>
      </c>
      <c r="E226" s="2" t="str" cm="1">
        <f t="array" ref="E226">_xlfn.IFS(D226&gt;=60,"Senior",D226&gt;=23,"Adult",D226&gt;=18,"Teenager")</f>
        <v>Adult</v>
      </c>
      <c r="F226" s="2" t="s">
        <v>9</v>
      </c>
      <c r="G226" s="3">
        <v>46085</v>
      </c>
      <c r="H226" s="3">
        <v>45605</v>
      </c>
      <c r="I226" s="2" t="s">
        <v>461</v>
      </c>
      <c r="J226" s="2" t="s">
        <v>33</v>
      </c>
      <c r="K226" s="2">
        <v>23837.759999999998</v>
      </c>
      <c r="L226" s="2" t="s">
        <v>19</v>
      </c>
      <c r="M226">
        <f t="shared" si="3"/>
        <v>0.52697095435684649</v>
      </c>
    </row>
    <row r="227" spans="1:13" x14ac:dyDescent="0.35">
      <c r="A227" s="2">
        <v>1088</v>
      </c>
      <c r="B227" s="2">
        <v>226</v>
      </c>
      <c r="C227" s="2" t="s">
        <v>462</v>
      </c>
      <c r="D227" s="2">
        <v>35</v>
      </c>
      <c r="E227" s="2" t="str" cm="1">
        <f t="array" ref="E227">_xlfn.IFS(D227&gt;=60,"Senior",D227&gt;=23,"Adult",D227&gt;=18,"Teenager")</f>
        <v>Adult</v>
      </c>
      <c r="F227" s="2" t="s">
        <v>14</v>
      </c>
      <c r="G227" s="3">
        <v>45957</v>
      </c>
      <c r="H227" s="3">
        <v>45968</v>
      </c>
      <c r="I227" s="2" t="s">
        <v>463</v>
      </c>
      <c r="J227" s="2" t="s">
        <v>26</v>
      </c>
      <c r="K227" s="2">
        <v>352.72</v>
      </c>
      <c r="L227" s="2" t="s">
        <v>19</v>
      </c>
      <c r="M227">
        <f t="shared" si="3"/>
        <v>0.52500000000000002</v>
      </c>
    </row>
    <row r="228" spans="1:13" x14ac:dyDescent="0.35">
      <c r="A228" s="2">
        <v>1073</v>
      </c>
      <c r="B228" s="2">
        <v>227</v>
      </c>
      <c r="C228" s="2" t="s">
        <v>464</v>
      </c>
      <c r="D228" s="2">
        <v>50</v>
      </c>
      <c r="E228" s="2" t="str" cm="1">
        <f t="array" ref="E228">_xlfn.IFS(D228&gt;=60,"Senior",D228&gt;=23,"Adult",D228&gt;=18,"Teenager")</f>
        <v>Adult</v>
      </c>
      <c r="F228" s="2" t="s">
        <v>9</v>
      </c>
      <c r="G228" s="3">
        <v>45970</v>
      </c>
      <c r="H228" s="3">
        <v>45730</v>
      </c>
      <c r="I228" s="2" t="s">
        <v>465</v>
      </c>
      <c r="J228" s="2" t="s">
        <v>16</v>
      </c>
      <c r="K228" s="2">
        <v>33003.839999999997</v>
      </c>
      <c r="L228" s="2" t="s">
        <v>19</v>
      </c>
      <c r="M228">
        <f t="shared" si="3"/>
        <v>0.52301255230125521</v>
      </c>
    </row>
    <row r="229" spans="1:13" x14ac:dyDescent="0.35">
      <c r="A229" s="2">
        <v>1031</v>
      </c>
      <c r="B229" s="2">
        <v>228</v>
      </c>
      <c r="C229" s="2" t="s">
        <v>466</v>
      </c>
      <c r="D229" s="2">
        <v>50</v>
      </c>
      <c r="E229" s="2" t="str" cm="1">
        <f t="array" ref="E229">_xlfn.IFS(D229&gt;=60,"Senior",D229&gt;=23,"Adult",D229&gt;=18,"Teenager")</f>
        <v>Adult</v>
      </c>
      <c r="F229" s="2" t="s">
        <v>9</v>
      </c>
      <c r="G229" s="3">
        <v>45980</v>
      </c>
      <c r="H229" s="3">
        <v>45672</v>
      </c>
      <c r="I229" s="2" t="s">
        <v>467</v>
      </c>
      <c r="J229" s="2" t="s">
        <v>33</v>
      </c>
      <c r="K229" s="2">
        <v>41396.160000000003</v>
      </c>
      <c r="L229" s="2" t="s">
        <v>19</v>
      </c>
      <c r="M229">
        <f t="shared" si="3"/>
        <v>0.52100840336134457</v>
      </c>
    </row>
    <row r="230" spans="1:13" x14ac:dyDescent="0.35">
      <c r="A230" s="2">
        <v>1041</v>
      </c>
      <c r="B230" s="2">
        <v>229</v>
      </c>
      <c r="C230" s="2" t="s">
        <v>468</v>
      </c>
      <c r="D230" s="2">
        <v>67</v>
      </c>
      <c r="E230" s="2" t="str" cm="1">
        <f t="array" ref="E230">_xlfn.IFS(D230&gt;=60,"Senior",D230&gt;=23,"Adult",D230&gt;=18,"Teenager")</f>
        <v>Senior</v>
      </c>
      <c r="F230" s="2" t="s">
        <v>9</v>
      </c>
      <c r="G230" s="3">
        <v>45764</v>
      </c>
      <c r="H230" s="3">
        <v>45550</v>
      </c>
      <c r="I230" s="2" t="s">
        <v>469</v>
      </c>
      <c r="J230" s="2" t="s">
        <v>33</v>
      </c>
      <c r="K230" s="2">
        <v>45905.279999999999</v>
      </c>
      <c r="L230" s="2" t="s">
        <v>12</v>
      </c>
      <c r="M230">
        <f t="shared" si="3"/>
        <v>0.51898734177215189</v>
      </c>
    </row>
    <row r="231" spans="1:13" x14ac:dyDescent="0.35">
      <c r="A231" s="2">
        <v>1003</v>
      </c>
      <c r="B231" s="2">
        <v>230</v>
      </c>
      <c r="C231" s="2" t="s">
        <v>470</v>
      </c>
      <c r="D231" s="2">
        <v>27</v>
      </c>
      <c r="E231" s="2" t="str" cm="1">
        <f t="array" ref="E231">_xlfn.IFS(D231&gt;=60,"Senior",D231&gt;=23,"Adult",D231&gt;=18,"Teenager")</f>
        <v>Adult</v>
      </c>
      <c r="F231" s="2" t="s">
        <v>9</v>
      </c>
      <c r="G231" s="3">
        <v>45813</v>
      </c>
      <c r="H231" s="3">
        <v>45729</v>
      </c>
      <c r="I231" s="2" t="s">
        <v>471</v>
      </c>
      <c r="J231" s="2" t="s">
        <v>33</v>
      </c>
      <c r="K231" s="2">
        <v>435.1</v>
      </c>
      <c r="L231" s="2" t="s">
        <v>19</v>
      </c>
      <c r="M231">
        <f t="shared" si="3"/>
        <v>0.52118644067796616</v>
      </c>
    </row>
    <row r="232" spans="1:13" x14ac:dyDescent="0.35">
      <c r="A232" s="2">
        <v>1017</v>
      </c>
      <c r="B232" s="2">
        <v>231</v>
      </c>
      <c r="C232" s="2" t="s">
        <v>472</v>
      </c>
      <c r="D232" s="2">
        <v>86</v>
      </c>
      <c r="E232" s="2" t="str" cm="1">
        <f t="array" ref="E232">_xlfn.IFS(D232&gt;=60,"Senior",D232&gt;=23,"Adult",D232&gt;=18,"Teenager")</f>
        <v>Senior</v>
      </c>
      <c r="F232" s="2" t="s">
        <v>9</v>
      </c>
      <c r="G232" s="3">
        <v>46267</v>
      </c>
      <c r="H232" s="3">
        <v>46043</v>
      </c>
      <c r="I232" s="2" t="s">
        <v>473</v>
      </c>
      <c r="J232" s="2" t="s">
        <v>16</v>
      </c>
      <c r="K232" s="2">
        <v>45052.800000000003</v>
      </c>
      <c r="L232" s="2" t="s">
        <v>12</v>
      </c>
      <c r="M232">
        <f t="shared" si="3"/>
        <v>0.51914893617021274</v>
      </c>
    </row>
    <row r="233" spans="1:13" x14ac:dyDescent="0.35">
      <c r="A233" s="2">
        <v>1024</v>
      </c>
      <c r="B233" s="2">
        <v>232</v>
      </c>
      <c r="C233" s="2" t="s">
        <v>474</v>
      </c>
      <c r="D233" s="2">
        <v>18</v>
      </c>
      <c r="E233" s="2" t="str" cm="1">
        <f t="array" ref="E233">_xlfn.IFS(D233&gt;=60,"Senior",D233&gt;=23,"Adult",D233&gt;=18,"Teenager")</f>
        <v>Teenager</v>
      </c>
      <c r="F233" s="2" t="s">
        <v>14</v>
      </c>
      <c r="G233" s="3">
        <v>45936</v>
      </c>
      <c r="H233" s="3">
        <v>45624</v>
      </c>
      <c r="I233" s="2" t="s">
        <v>475</v>
      </c>
      <c r="J233" s="2" t="s">
        <v>33</v>
      </c>
      <c r="K233" s="2">
        <v>466.56</v>
      </c>
      <c r="L233" s="2" t="s">
        <v>12</v>
      </c>
      <c r="M233">
        <f t="shared" si="3"/>
        <v>0.5213675213675214</v>
      </c>
    </row>
    <row r="234" spans="1:13" x14ac:dyDescent="0.35">
      <c r="A234" s="2">
        <v>1058</v>
      </c>
      <c r="B234" s="2">
        <v>233</v>
      </c>
      <c r="C234" s="2" t="s">
        <v>476</v>
      </c>
      <c r="D234" s="2">
        <v>59</v>
      </c>
      <c r="E234" s="2" t="str" cm="1">
        <f t="array" ref="E234">_xlfn.IFS(D234&gt;=60,"Senior",D234&gt;=23,"Adult",D234&gt;=18,"Teenager")</f>
        <v>Adult</v>
      </c>
      <c r="F234" s="2" t="s">
        <v>9</v>
      </c>
      <c r="G234" s="3">
        <v>46096</v>
      </c>
      <c r="H234" s="3">
        <v>45663</v>
      </c>
      <c r="I234" s="2" t="s">
        <v>477</v>
      </c>
      <c r="J234" s="2" t="s">
        <v>33</v>
      </c>
      <c r="K234" s="2">
        <v>15697.92</v>
      </c>
      <c r="L234" s="2" t="s">
        <v>12</v>
      </c>
      <c r="M234">
        <f t="shared" si="3"/>
        <v>0.52360515021459231</v>
      </c>
    </row>
    <row r="235" spans="1:13" x14ac:dyDescent="0.35">
      <c r="A235" s="2">
        <v>1068</v>
      </c>
      <c r="B235" s="2">
        <v>234</v>
      </c>
      <c r="C235" s="2" t="s">
        <v>478</v>
      </c>
      <c r="D235" s="2">
        <v>37</v>
      </c>
      <c r="E235" s="2" t="str" cm="1">
        <f t="array" ref="E235">_xlfn.IFS(D235&gt;=60,"Senior",D235&gt;=23,"Adult",D235&gt;=18,"Teenager")</f>
        <v>Adult</v>
      </c>
      <c r="F235" s="2" t="s">
        <v>14</v>
      </c>
      <c r="G235" s="3">
        <v>45979</v>
      </c>
      <c r="H235" s="3">
        <v>45614</v>
      </c>
      <c r="I235" s="2" t="s">
        <v>479</v>
      </c>
      <c r="J235" s="2" t="s">
        <v>26</v>
      </c>
      <c r="K235" s="2">
        <v>356.13</v>
      </c>
      <c r="L235" s="2" t="s">
        <v>19</v>
      </c>
      <c r="M235">
        <f t="shared" si="3"/>
        <v>0.52586206896551724</v>
      </c>
    </row>
    <row r="236" spans="1:13" x14ac:dyDescent="0.35">
      <c r="A236" s="2">
        <v>1013</v>
      </c>
      <c r="B236" s="2">
        <v>235</v>
      </c>
      <c r="C236" s="2" t="s">
        <v>480</v>
      </c>
      <c r="D236" s="2">
        <v>71</v>
      </c>
      <c r="E236" s="2" t="str" cm="1">
        <f t="array" ref="E236">_xlfn.IFS(D236&gt;=60,"Senior",D236&gt;=23,"Adult",D236&gt;=18,"Teenager")</f>
        <v>Senior</v>
      </c>
      <c r="F236" s="2" t="s">
        <v>9</v>
      </c>
      <c r="G236" s="3">
        <v>45874</v>
      </c>
      <c r="H236" s="3">
        <v>45845</v>
      </c>
      <c r="I236" s="2" t="s">
        <v>481</v>
      </c>
      <c r="J236" s="2" t="s">
        <v>33</v>
      </c>
      <c r="K236" s="2">
        <v>38459.519999999997</v>
      </c>
      <c r="L236" s="2" t="s">
        <v>12</v>
      </c>
      <c r="M236">
        <f t="shared" si="3"/>
        <v>0.52380952380952384</v>
      </c>
    </row>
    <row r="237" spans="1:13" x14ac:dyDescent="0.35">
      <c r="A237" s="2">
        <v>1009</v>
      </c>
      <c r="B237" s="2">
        <v>236</v>
      </c>
      <c r="C237" s="2" t="s">
        <v>482</v>
      </c>
      <c r="D237" s="2">
        <v>49</v>
      </c>
      <c r="E237" s="2" t="str" cm="1">
        <f t="array" ref="E237">_xlfn.IFS(D237&gt;=60,"Senior",D237&gt;=23,"Adult",D237&gt;=18,"Teenager")</f>
        <v>Adult</v>
      </c>
      <c r="F237" s="2" t="s">
        <v>9</v>
      </c>
      <c r="G237" s="3">
        <v>46070</v>
      </c>
      <c r="H237" s="3">
        <v>46038</v>
      </c>
      <c r="I237" s="2" t="s">
        <v>483</v>
      </c>
      <c r="J237" s="2" t="s">
        <v>26</v>
      </c>
      <c r="K237" s="2">
        <v>17081.28</v>
      </c>
      <c r="L237" s="2" t="s">
        <v>12</v>
      </c>
      <c r="M237">
        <f t="shared" si="3"/>
        <v>0.52608695652173909</v>
      </c>
    </row>
    <row r="238" spans="1:13" x14ac:dyDescent="0.35">
      <c r="A238" s="2">
        <v>1072</v>
      </c>
      <c r="B238" s="2">
        <v>237</v>
      </c>
      <c r="C238" s="2" t="s">
        <v>484</v>
      </c>
      <c r="D238" s="2">
        <v>30</v>
      </c>
      <c r="E238" s="2" t="str" cm="1">
        <f t="array" ref="E238">_xlfn.IFS(D238&gt;=60,"Senior",D238&gt;=23,"Adult",D238&gt;=18,"Teenager")</f>
        <v>Adult</v>
      </c>
      <c r="F238" s="2" t="s">
        <v>9</v>
      </c>
      <c r="G238" s="3">
        <v>46047</v>
      </c>
      <c r="H238" s="3">
        <v>45931</v>
      </c>
      <c r="I238" s="2" t="s">
        <v>485</v>
      </c>
      <c r="J238" s="2" t="s">
        <v>11</v>
      </c>
      <c r="K238" s="2">
        <v>222.37</v>
      </c>
      <c r="L238" s="2" t="s">
        <v>19</v>
      </c>
      <c r="M238">
        <f t="shared" si="3"/>
        <v>0.52838427947598254</v>
      </c>
    </row>
    <row r="239" spans="1:13" x14ac:dyDescent="0.35">
      <c r="A239" s="2">
        <v>1098</v>
      </c>
      <c r="B239" s="2">
        <v>238</v>
      </c>
      <c r="C239" s="2" t="s">
        <v>486</v>
      </c>
      <c r="D239" s="2">
        <v>75</v>
      </c>
      <c r="E239" s="2" t="str" cm="1">
        <f t="array" ref="E239">_xlfn.IFS(D239&gt;=60,"Senior",D239&gt;=23,"Adult",D239&gt;=18,"Teenager")</f>
        <v>Senior</v>
      </c>
      <c r="F239" s="2" t="s">
        <v>9</v>
      </c>
      <c r="G239" s="3">
        <v>46019</v>
      </c>
      <c r="H239" s="3">
        <v>45642</v>
      </c>
      <c r="I239" s="2" t="s">
        <v>487</v>
      </c>
      <c r="J239" s="2" t="s">
        <v>16</v>
      </c>
      <c r="K239" s="2">
        <v>46291.199999999997</v>
      </c>
      <c r="L239" s="2" t="s">
        <v>19</v>
      </c>
      <c r="M239">
        <f t="shared" si="3"/>
        <v>0.52631578947368418</v>
      </c>
    </row>
    <row r="240" spans="1:13" x14ac:dyDescent="0.35">
      <c r="A240" s="2">
        <v>1072</v>
      </c>
      <c r="B240" s="2">
        <v>239</v>
      </c>
      <c r="C240" s="2" t="s">
        <v>488</v>
      </c>
      <c r="D240" s="2">
        <v>49</v>
      </c>
      <c r="E240" s="2" t="str" cm="1">
        <f t="array" ref="E240">_xlfn.IFS(D240&gt;=60,"Senior",D240&gt;=23,"Adult",D240&gt;=18,"Teenager")</f>
        <v>Adult</v>
      </c>
      <c r="F240" s="2" t="s">
        <v>9</v>
      </c>
      <c r="G240" s="3">
        <v>45742</v>
      </c>
      <c r="H240" s="3">
        <v>45689</v>
      </c>
      <c r="I240" s="2" t="s">
        <v>489</v>
      </c>
      <c r="J240" s="2" t="s">
        <v>26</v>
      </c>
      <c r="K240" s="2">
        <v>92.08</v>
      </c>
      <c r="L240" s="2" t="s">
        <v>12</v>
      </c>
      <c r="M240">
        <f t="shared" si="3"/>
        <v>0.52422907488986781</v>
      </c>
    </row>
    <row r="241" spans="1:13" x14ac:dyDescent="0.35">
      <c r="A241" s="2">
        <v>1061</v>
      </c>
      <c r="B241" s="2">
        <v>240</v>
      </c>
      <c r="C241" s="2" t="s">
        <v>490</v>
      </c>
      <c r="D241" s="2">
        <v>74</v>
      </c>
      <c r="E241" s="2" t="str" cm="1">
        <f t="array" ref="E241">_xlfn.IFS(D241&gt;=60,"Senior",D241&gt;=23,"Adult",D241&gt;=18,"Teenager")</f>
        <v>Senior</v>
      </c>
      <c r="F241" s="2" t="s">
        <v>9</v>
      </c>
      <c r="G241" s="3">
        <v>45901</v>
      </c>
      <c r="H241" s="3">
        <v>45803</v>
      </c>
      <c r="I241" s="2" t="s">
        <v>491</v>
      </c>
      <c r="J241" s="2" t="s">
        <v>11</v>
      </c>
      <c r="K241" s="2">
        <v>473.48</v>
      </c>
      <c r="L241" s="2" t="s">
        <v>19</v>
      </c>
      <c r="M241">
        <f t="shared" si="3"/>
        <v>0.52654867256637172</v>
      </c>
    </row>
    <row r="242" spans="1:13" x14ac:dyDescent="0.35">
      <c r="A242" s="2">
        <v>1003</v>
      </c>
      <c r="B242" s="2">
        <v>241</v>
      </c>
      <c r="C242" s="2" t="s">
        <v>492</v>
      </c>
      <c r="D242" s="2">
        <v>64</v>
      </c>
      <c r="E242" s="2" t="str" cm="1">
        <f t="array" ref="E242">_xlfn.IFS(D242&gt;=60,"Senior",D242&gt;=23,"Adult",D242&gt;=18,"Teenager")</f>
        <v>Senior</v>
      </c>
      <c r="F242" s="2" t="s">
        <v>9</v>
      </c>
      <c r="G242" s="3">
        <v>46046</v>
      </c>
      <c r="H242" s="3">
        <v>45696</v>
      </c>
      <c r="I242" s="2" t="s">
        <v>493</v>
      </c>
      <c r="J242" s="2" t="s">
        <v>26</v>
      </c>
      <c r="K242" s="2">
        <v>79.59</v>
      </c>
      <c r="L242" s="2" t="s">
        <v>12</v>
      </c>
      <c r="M242">
        <f t="shared" si="3"/>
        <v>0.52444444444444449</v>
      </c>
    </row>
    <row r="243" spans="1:13" x14ac:dyDescent="0.35">
      <c r="A243" s="2">
        <v>1056</v>
      </c>
      <c r="B243" s="2">
        <v>242</v>
      </c>
      <c r="C243" s="2" t="s">
        <v>494</v>
      </c>
      <c r="D243" s="2">
        <v>24</v>
      </c>
      <c r="E243" s="2" t="str" cm="1">
        <f t="array" ref="E243">_xlfn.IFS(D243&gt;=60,"Senior",D243&gt;=23,"Adult",D243&gt;=18,"Teenager")</f>
        <v>Adult</v>
      </c>
      <c r="F243" s="2" t="s">
        <v>14</v>
      </c>
      <c r="G243" s="3">
        <v>45958</v>
      </c>
      <c r="H243" s="3">
        <v>45672</v>
      </c>
      <c r="I243" s="2" t="s">
        <v>495</v>
      </c>
      <c r="J243" s="2" t="s">
        <v>26</v>
      </c>
      <c r="K243" s="2">
        <v>9376.32</v>
      </c>
      <c r="L243" s="2" t="s">
        <v>19</v>
      </c>
      <c r="M243">
        <f t="shared" si="3"/>
        <v>0.5267857142857143</v>
      </c>
    </row>
    <row r="244" spans="1:13" x14ac:dyDescent="0.35">
      <c r="A244" s="2">
        <v>1054</v>
      </c>
      <c r="B244" s="2">
        <v>243</v>
      </c>
      <c r="C244" s="2" t="s">
        <v>496</v>
      </c>
      <c r="D244" s="2">
        <v>57</v>
      </c>
      <c r="E244" s="2" t="str" cm="1">
        <f t="array" ref="E244">_xlfn.IFS(D244&gt;=60,"Senior",D244&gt;=23,"Adult",D244&gt;=18,"Teenager")</f>
        <v>Adult</v>
      </c>
      <c r="F244" s="2" t="s">
        <v>14</v>
      </c>
      <c r="G244" s="3">
        <v>45910</v>
      </c>
      <c r="H244" s="3">
        <v>45733</v>
      </c>
      <c r="I244" s="2" t="s">
        <v>497</v>
      </c>
      <c r="J244" s="2" t="s">
        <v>16</v>
      </c>
      <c r="K244" s="2">
        <v>16232.64</v>
      </c>
      <c r="L244" s="2" t="s">
        <v>12</v>
      </c>
      <c r="M244">
        <f t="shared" si="3"/>
        <v>0.5246636771300448</v>
      </c>
    </row>
    <row r="245" spans="1:13" x14ac:dyDescent="0.35">
      <c r="A245" s="2">
        <v>1059</v>
      </c>
      <c r="B245" s="2">
        <v>244</v>
      </c>
      <c r="C245" s="2" t="s">
        <v>498</v>
      </c>
      <c r="D245" s="2">
        <v>88</v>
      </c>
      <c r="E245" s="2" t="str" cm="1">
        <f t="array" ref="E245">_xlfn.IFS(D245&gt;=60,"Senior",D245&gt;=23,"Adult",D245&gt;=18,"Teenager")</f>
        <v>Senior</v>
      </c>
      <c r="F245" s="2" t="s">
        <v>14</v>
      </c>
      <c r="G245" s="3">
        <v>45868</v>
      </c>
      <c r="H245" s="3">
        <v>45838</v>
      </c>
      <c r="I245" s="2" t="s">
        <v>499</v>
      </c>
      <c r="J245" s="2" t="s">
        <v>11</v>
      </c>
      <c r="K245" s="2">
        <v>94.19</v>
      </c>
      <c r="L245" s="2" t="s">
        <v>19</v>
      </c>
      <c r="M245">
        <f t="shared" si="3"/>
        <v>0.52702702702702697</v>
      </c>
    </row>
    <row r="246" spans="1:13" x14ac:dyDescent="0.35">
      <c r="A246" s="2">
        <v>1086</v>
      </c>
      <c r="B246" s="2">
        <v>245</v>
      </c>
      <c r="C246" s="2" t="s">
        <v>500</v>
      </c>
      <c r="D246" s="2">
        <v>86</v>
      </c>
      <c r="E246" s="2" t="str" cm="1">
        <f t="array" ref="E246">_xlfn.IFS(D246&gt;=60,"Senior",D246&gt;=23,"Adult",D246&gt;=18,"Teenager")</f>
        <v>Senior</v>
      </c>
      <c r="F246" s="2" t="s">
        <v>9</v>
      </c>
      <c r="G246" s="3">
        <v>45872</v>
      </c>
      <c r="H246" s="3">
        <v>45707</v>
      </c>
      <c r="I246" s="2" t="s">
        <v>501</v>
      </c>
      <c r="J246" s="2" t="s">
        <v>33</v>
      </c>
      <c r="K246" s="2">
        <v>32489.279999999999</v>
      </c>
      <c r="L246" s="2" t="s">
        <v>19</v>
      </c>
      <c r="M246">
        <f t="shared" si="3"/>
        <v>0.52488687782805432</v>
      </c>
    </row>
    <row r="247" spans="1:13" x14ac:dyDescent="0.35">
      <c r="A247" s="2">
        <v>1050</v>
      </c>
      <c r="B247" s="2">
        <v>246</v>
      </c>
      <c r="C247" s="2" t="s">
        <v>502</v>
      </c>
      <c r="D247" s="2">
        <v>60</v>
      </c>
      <c r="E247" s="2" t="str" cm="1">
        <f t="array" ref="E247">_xlfn.IFS(D247&gt;=60,"Senior",D247&gt;=23,"Adult",D247&gt;=18,"Teenager")</f>
        <v>Senior</v>
      </c>
      <c r="F247" s="2" t="s">
        <v>9</v>
      </c>
      <c r="G247" s="3">
        <v>45813</v>
      </c>
      <c r="H247" s="3">
        <v>45576</v>
      </c>
      <c r="I247" s="2" t="s">
        <v>503</v>
      </c>
      <c r="J247" s="2" t="s">
        <v>11</v>
      </c>
      <c r="K247" s="2">
        <v>43551.360000000001</v>
      </c>
      <c r="L247" s="2" t="s">
        <v>19</v>
      </c>
      <c r="M247">
        <f t="shared" si="3"/>
        <v>0.52272727272727271</v>
      </c>
    </row>
    <row r="248" spans="1:13" x14ac:dyDescent="0.35">
      <c r="A248" s="2">
        <v>1014</v>
      </c>
      <c r="B248" s="2">
        <v>247</v>
      </c>
      <c r="C248" s="2" t="s">
        <v>504</v>
      </c>
      <c r="D248" s="2">
        <v>81</v>
      </c>
      <c r="E248" s="2" t="str" cm="1">
        <f t="array" ref="E248">_xlfn.IFS(D248&gt;=60,"Senior",D248&gt;=23,"Adult",D248&gt;=18,"Teenager")</f>
        <v>Senior</v>
      </c>
      <c r="F248" s="2" t="s">
        <v>9</v>
      </c>
      <c r="G248" s="3">
        <v>45806</v>
      </c>
      <c r="H248" s="3">
        <v>45454</v>
      </c>
      <c r="I248" s="2" t="s">
        <v>505</v>
      </c>
      <c r="J248" s="2" t="s">
        <v>33</v>
      </c>
      <c r="K248" s="2">
        <v>201.8</v>
      </c>
      <c r="L248" s="2" t="s">
        <v>19</v>
      </c>
      <c r="M248">
        <f t="shared" si="3"/>
        <v>0.52054794520547942</v>
      </c>
    </row>
    <row r="249" spans="1:13" x14ac:dyDescent="0.35">
      <c r="A249" s="2">
        <v>1059</v>
      </c>
      <c r="B249" s="2">
        <v>248</v>
      </c>
      <c r="C249" s="2" t="s">
        <v>506</v>
      </c>
      <c r="D249" s="2">
        <v>75</v>
      </c>
      <c r="E249" s="2" t="str" cm="1">
        <f t="array" ref="E249">_xlfn.IFS(D249&gt;=60,"Senior",D249&gt;=23,"Adult",D249&gt;=18,"Teenager")</f>
        <v>Senior</v>
      </c>
      <c r="F249" s="2" t="s">
        <v>9</v>
      </c>
      <c r="G249" s="3">
        <v>45762</v>
      </c>
      <c r="H249" s="3">
        <v>45444</v>
      </c>
      <c r="I249" s="2" t="s">
        <v>507</v>
      </c>
      <c r="J249" s="2" t="s">
        <v>26</v>
      </c>
      <c r="K249" s="2">
        <v>12393.6</v>
      </c>
      <c r="L249" s="2" t="s">
        <v>19</v>
      </c>
      <c r="M249">
        <f t="shared" si="3"/>
        <v>0.51834862385321101</v>
      </c>
    </row>
    <row r="250" spans="1:13" x14ac:dyDescent="0.35">
      <c r="A250" s="2">
        <v>1092</v>
      </c>
      <c r="B250" s="2">
        <v>249</v>
      </c>
      <c r="C250" s="2" t="s">
        <v>508</v>
      </c>
      <c r="D250" s="2">
        <v>74</v>
      </c>
      <c r="E250" s="2" t="str" cm="1">
        <f t="array" ref="E250">_xlfn.IFS(D250&gt;=60,"Senior",D250&gt;=23,"Adult",D250&gt;=18,"Teenager")</f>
        <v>Senior</v>
      </c>
      <c r="F250" s="2" t="s">
        <v>9</v>
      </c>
      <c r="G250" s="3">
        <v>45862</v>
      </c>
      <c r="H250" s="3">
        <v>45771</v>
      </c>
      <c r="I250" s="2" t="s">
        <v>509</v>
      </c>
      <c r="J250" s="2" t="s">
        <v>11</v>
      </c>
      <c r="K250" s="2">
        <v>14738.88</v>
      </c>
      <c r="L250" s="2" t="s">
        <v>19</v>
      </c>
      <c r="M250">
        <f t="shared" si="3"/>
        <v>0.5161290322580645</v>
      </c>
    </row>
    <row r="251" spans="1:13" x14ac:dyDescent="0.35">
      <c r="A251" s="2">
        <v>1010</v>
      </c>
      <c r="B251" s="2">
        <v>250</v>
      </c>
      <c r="C251" s="2" t="s">
        <v>510</v>
      </c>
      <c r="D251" s="2">
        <v>60</v>
      </c>
      <c r="E251" s="2" t="str" cm="1">
        <f t="array" ref="E251">_xlfn.IFS(D251&gt;=60,"Senior",D251&gt;=23,"Adult",D251&gt;=18,"Teenager")</f>
        <v>Senior</v>
      </c>
      <c r="F251" s="2" t="s">
        <v>14</v>
      </c>
      <c r="G251" s="3">
        <v>46048</v>
      </c>
      <c r="H251" s="3">
        <v>45540</v>
      </c>
      <c r="I251" s="2" t="s">
        <v>511</v>
      </c>
      <c r="J251" s="2" t="s">
        <v>26</v>
      </c>
      <c r="K251" s="2">
        <v>222.33</v>
      </c>
      <c r="L251" s="2" t="s">
        <v>19</v>
      </c>
      <c r="M251">
        <f t="shared" si="3"/>
        <v>0.51388888888888884</v>
      </c>
    </row>
    <row r="252" spans="1:13" x14ac:dyDescent="0.35">
      <c r="A252" s="2">
        <v>1032</v>
      </c>
      <c r="B252" s="2">
        <v>251</v>
      </c>
      <c r="C252" s="2" t="s">
        <v>512</v>
      </c>
      <c r="D252" s="2">
        <v>28</v>
      </c>
      <c r="E252" s="2" t="str" cm="1">
        <f t="array" ref="E252">_xlfn.IFS(D252&gt;=60,"Senior",D252&gt;=23,"Adult",D252&gt;=18,"Teenager")</f>
        <v>Adult</v>
      </c>
      <c r="F252" s="2" t="s">
        <v>14</v>
      </c>
      <c r="G252" s="3">
        <v>45852</v>
      </c>
      <c r="H252" s="3">
        <v>45520</v>
      </c>
      <c r="I252" s="2" t="s">
        <v>513</v>
      </c>
      <c r="J252" s="2" t="s">
        <v>16</v>
      </c>
      <c r="K252" s="2">
        <v>403.78</v>
      </c>
      <c r="L252" s="2" t="s">
        <v>19</v>
      </c>
      <c r="M252">
        <f t="shared" si="3"/>
        <v>0.51162790697674421</v>
      </c>
    </row>
    <row r="253" spans="1:13" x14ac:dyDescent="0.35">
      <c r="A253" s="2">
        <v>1020</v>
      </c>
      <c r="B253" s="2">
        <v>252</v>
      </c>
      <c r="C253" s="2" t="s">
        <v>514</v>
      </c>
      <c r="D253" s="2">
        <v>45</v>
      </c>
      <c r="E253" s="2" t="str" cm="1">
        <f t="array" ref="E253">_xlfn.IFS(D253&gt;=60,"Senior",D253&gt;=23,"Adult",D253&gt;=18,"Teenager")</f>
        <v>Adult</v>
      </c>
      <c r="F253" s="2" t="s">
        <v>9</v>
      </c>
      <c r="G253" s="3">
        <v>45990</v>
      </c>
      <c r="H253" s="3">
        <v>45900</v>
      </c>
      <c r="I253" s="2" t="s">
        <v>515</v>
      </c>
      <c r="J253" s="2" t="s">
        <v>11</v>
      </c>
      <c r="K253" s="2">
        <v>32948.160000000003</v>
      </c>
      <c r="L253" s="2" t="s">
        <v>12</v>
      </c>
      <c r="M253">
        <f t="shared" si="3"/>
        <v>0.50934579439252337</v>
      </c>
    </row>
    <row r="254" spans="1:13" x14ac:dyDescent="0.35">
      <c r="A254" s="2">
        <v>1017</v>
      </c>
      <c r="B254" s="2">
        <v>253</v>
      </c>
      <c r="C254" s="2" t="s">
        <v>516</v>
      </c>
      <c r="D254" s="2">
        <v>55</v>
      </c>
      <c r="E254" s="2" t="str" cm="1">
        <f t="array" ref="E254">_xlfn.IFS(D254&gt;=60,"Senior",D254&gt;=23,"Adult",D254&gt;=18,"Teenager")</f>
        <v>Adult</v>
      </c>
      <c r="F254" s="2" t="s">
        <v>14</v>
      </c>
      <c r="G254" s="3">
        <v>45856</v>
      </c>
      <c r="H254" s="3">
        <v>45479</v>
      </c>
      <c r="I254" s="2" t="s">
        <v>517</v>
      </c>
      <c r="J254" s="2" t="s">
        <v>11</v>
      </c>
      <c r="K254" s="2">
        <v>365.21</v>
      </c>
      <c r="L254" s="2" t="s">
        <v>12</v>
      </c>
      <c r="M254">
        <f t="shared" si="3"/>
        <v>0.51173708920187788</v>
      </c>
    </row>
    <row r="255" spans="1:13" x14ac:dyDescent="0.35">
      <c r="A255" s="2">
        <v>1084</v>
      </c>
      <c r="B255" s="2">
        <v>254</v>
      </c>
      <c r="C255" s="2" t="s">
        <v>518</v>
      </c>
      <c r="D255" s="2">
        <v>69</v>
      </c>
      <c r="E255" s="2" t="str" cm="1">
        <f t="array" ref="E255">_xlfn.IFS(D255&gt;=60,"Senior",D255&gt;=23,"Adult",D255&gt;=18,"Teenager")</f>
        <v>Senior</v>
      </c>
      <c r="F255" s="2" t="s">
        <v>14</v>
      </c>
      <c r="G255" s="3">
        <v>45743</v>
      </c>
      <c r="H255" s="3">
        <v>45390</v>
      </c>
      <c r="I255" s="2" t="s">
        <v>519</v>
      </c>
      <c r="J255" s="2" t="s">
        <v>11</v>
      </c>
      <c r="K255" s="2">
        <v>15703.68</v>
      </c>
      <c r="L255" s="2" t="s">
        <v>12</v>
      </c>
      <c r="M255">
        <f t="shared" si="3"/>
        <v>0.51415094339622647</v>
      </c>
    </row>
    <row r="256" spans="1:13" x14ac:dyDescent="0.35">
      <c r="A256" s="2">
        <v>1005</v>
      </c>
      <c r="B256" s="2">
        <v>255</v>
      </c>
      <c r="C256" s="2" t="s">
        <v>520</v>
      </c>
      <c r="D256" s="2">
        <v>84</v>
      </c>
      <c r="E256" s="2" t="str" cm="1">
        <f t="array" ref="E256">_xlfn.IFS(D256&gt;=60,"Senior",D256&gt;=23,"Adult",D256&gt;=18,"Teenager")</f>
        <v>Senior</v>
      </c>
      <c r="F256" s="2" t="s">
        <v>9</v>
      </c>
      <c r="G256" s="3">
        <v>46027</v>
      </c>
      <c r="H256" s="3">
        <v>45968</v>
      </c>
      <c r="I256" s="2" t="s">
        <v>521</v>
      </c>
      <c r="J256" s="2" t="s">
        <v>26</v>
      </c>
      <c r="K256" s="2">
        <v>499.36</v>
      </c>
      <c r="L256" s="2" t="s">
        <v>12</v>
      </c>
      <c r="M256">
        <f t="shared" si="3"/>
        <v>0.51658767772511849</v>
      </c>
    </row>
    <row r="257" spans="1:13" x14ac:dyDescent="0.35">
      <c r="A257" s="2">
        <v>1011</v>
      </c>
      <c r="B257" s="2">
        <v>256</v>
      </c>
      <c r="C257" s="2" t="s">
        <v>522</v>
      </c>
      <c r="D257" s="2">
        <v>50</v>
      </c>
      <c r="E257" s="2" t="str" cm="1">
        <f t="array" ref="E257">_xlfn.IFS(D257&gt;=60,"Senior",D257&gt;=23,"Adult",D257&gt;=18,"Teenager")</f>
        <v>Adult</v>
      </c>
      <c r="F257" s="2" t="s">
        <v>9</v>
      </c>
      <c r="G257" s="3">
        <v>45975</v>
      </c>
      <c r="H257" s="3">
        <v>45914</v>
      </c>
      <c r="I257" s="2" t="s">
        <v>523</v>
      </c>
      <c r="J257" s="2" t="s">
        <v>26</v>
      </c>
      <c r="K257" s="2">
        <v>101.37</v>
      </c>
      <c r="L257" s="2" t="s">
        <v>12</v>
      </c>
      <c r="M257">
        <f t="shared" si="3"/>
        <v>0.51904761904761909</v>
      </c>
    </row>
    <row r="258" spans="1:13" x14ac:dyDescent="0.35">
      <c r="A258" s="2">
        <v>1090</v>
      </c>
      <c r="B258" s="2">
        <v>257</v>
      </c>
      <c r="C258" s="2" t="s">
        <v>524</v>
      </c>
      <c r="D258" s="2">
        <v>53</v>
      </c>
      <c r="E258" s="2" t="str" cm="1">
        <f t="array" ref="E258">_xlfn.IFS(D258&gt;=60,"Senior",D258&gt;=23,"Adult",D258&gt;=18,"Teenager")</f>
        <v>Adult</v>
      </c>
      <c r="F258" s="2" t="s">
        <v>14</v>
      </c>
      <c r="G258" s="3">
        <v>46068</v>
      </c>
      <c r="H258" s="3">
        <v>45774</v>
      </c>
      <c r="I258" s="2" t="s">
        <v>525</v>
      </c>
      <c r="J258" s="2" t="s">
        <v>33</v>
      </c>
      <c r="K258" s="2">
        <v>163.4</v>
      </c>
      <c r="L258" s="2" t="s">
        <v>19</v>
      </c>
      <c r="M258">
        <f t="shared" si="3"/>
        <v>0.52153110047846885</v>
      </c>
    </row>
    <row r="259" spans="1:13" x14ac:dyDescent="0.35">
      <c r="A259" s="2">
        <v>1047</v>
      </c>
      <c r="B259" s="2">
        <v>258</v>
      </c>
      <c r="C259" s="2" t="s">
        <v>526</v>
      </c>
      <c r="D259" s="2">
        <v>31</v>
      </c>
      <c r="E259" s="2" t="str" cm="1">
        <f t="array" ref="E259">_xlfn.IFS(D259&gt;=60,"Senior",D259&gt;=23,"Adult",D259&gt;=18,"Teenager")</f>
        <v>Adult</v>
      </c>
      <c r="F259" s="2" t="s">
        <v>9</v>
      </c>
      <c r="G259" s="3">
        <v>45752</v>
      </c>
      <c r="H259" s="3">
        <v>45509</v>
      </c>
      <c r="I259" s="2" t="s">
        <v>527</v>
      </c>
      <c r="J259" s="2" t="s">
        <v>26</v>
      </c>
      <c r="K259" s="2">
        <v>257.10000000000002</v>
      </c>
      <c r="L259" s="2" t="s">
        <v>12</v>
      </c>
      <c r="M259">
        <f t="shared" ref="M259:M322" si="4">COUNTIF(L259:L723,"Yes")/COUNTA(L259:L723)</f>
        <v>0.51923076923076927</v>
      </c>
    </row>
    <row r="260" spans="1:13" x14ac:dyDescent="0.35">
      <c r="A260" s="2">
        <v>1068</v>
      </c>
      <c r="B260" s="2">
        <v>259</v>
      </c>
      <c r="C260" s="2" t="s">
        <v>528</v>
      </c>
      <c r="D260" s="2">
        <v>63</v>
      </c>
      <c r="E260" s="2" t="str" cm="1">
        <f t="array" ref="E260">_xlfn.IFS(D260&gt;=60,"Senior",D260&gt;=23,"Adult",D260&gt;=18,"Teenager")</f>
        <v>Senior</v>
      </c>
      <c r="F260" s="2" t="s">
        <v>14</v>
      </c>
      <c r="G260" s="3">
        <v>45698</v>
      </c>
      <c r="H260" s="3">
        <v>45449</v>
      </c>
      <c r="I260" s="2" t="s">
        <v>529</v>
      </c>
      <c r="J260" s="2" t="s">
        <v>11</v>
      </c>
      <c r="K260" s="2">
        <v>217.86</v>
      </c>
      <c r="L260" s="2" t="s">
        <v>12</v>
      </c>
      <c r="M260">
        <f t="shared" si="4"/>
        <v>0.52173913043478259</v>
      </c>
    </row>
    <row r="261" spans="1:13" x14ac:dyDescent="0.35">
      <c r="A261" s="2">
        <v>1048</v>
      </c>
      <c r="B261" s="2">
        <v>260</v>
      </c>
      <c r="C261" s="2" t="s">
        <v>530</v>
      </c>
      <c r="D261" s="2">
        <v>47</v>
      </c>
      <c r="E261" s="2" t="str" cm="1">
        <f t="array" ref="E261">_xlfn.IFS(D261&gt;=60,"Senior",D261&gt;=23,"Adult",D261&gt;=18,"Teenager")</f>
        <v>Adult</v>
      </c>
      <c r="F261" s="2" t="s">
        <v>9</v>
      </c>
      <c r="G261" s="3">
        <v>45875</v>
      </c>
      <c r="H261" s="3">
        <v>45859</v>
      </c>
      <c r="I261" s="2" t="s">
        <v>531</v>
      </c>
      <c r="J261" s="2" t="s">
        <v>16</v>
      </c>
      <c r="K261" s="2">
        <v>16707.84</v>
      </c>
      <c r="L261" s="2" t="s">
        <v>19</v>
      </c>
      <c r="M261">
        <f t="shared" si="4"/>
        <v>0.52427184466019416</v>
      </c>
    </row>
    <row r="262" spans="1:13" x14ac:dyDescent="0.35">
      <c r="A262" s="2">
        <v>1030</v>
      </c>
      <c r="B262" s="2">
        <v>261</v>
      </c>
      <c r="C262" s="2" t="s">
        <v>532</v>
      </c>
      <c r="D262" s="2">
        <v>66</v>
      </c>
      <c r="E262" s="2" t="str" cm="1">
        <f t="array" ref="E262">_xlfn.IFS(D262&gt;=60,"Senior",D262&gt;=23,"Adult",D262&gt;=18,"Teenager")</f>
        <v>Senior</v>
      </c>
      <c r="F262" s="2" t="s">
        <v>9</v>
      </c>
      <c r="G262" s="3">
        <v>45953</v>
      </c>
      <c r="H262" s="3">
        <v>45437</v>
      </c>
      <c r="I262" s="2" t="s">
        <v>533</v>
      </c>
      <c r="J262" s="2" t="s">
        <v>26</v>
      </c>
      <c r="K262" s="2">
        <v>490.08</v>
      </c>
      <c r="L262" s="2" t="s">
        <v>19</v>
      </c>
      <c r="M262">
        <f t="shared" si="4"/>
        <v>0.52195121951219514</v>
      </c>
    </row>
    <row r="263" spans="1:13" x14ac:dyDescent="0.35">
      <c r="A263" s="2">
        <v>1003</v>
      </c>
      <c r="B263" s="2">
        <v>262</v>
      </c>
      <c r="C263" s="2" t="s">
        <v>534</v>
      </c>
      <c r="D263" s="2">
        <v>48</v>
      </c>
      <c r="E263" s="2" t="str" cm="1">
        <f t="array" ref="E263">_xlfn.IFS(D263&gt;=60,"Senior",D263&gt;=23,"Adult",D263&gt;=18,"Teenager")</f>
        <v>Adult</v>
      </c>
      <c r="F263" s="2" t="s">
        <v>14</v>
      </c>
      <c r="G263" s="3">
        <v>45863</v>
      </c>
      <c r="H263" s="3">
        <v>45671</v>
      </c>
      <c r="I263" s="2" t="s">
        <v>535</v>
      </c>
      <c r="J263" s="2" t="s">
        <v>33</v>
      </c>
      <c r="K263" s="2">
        <v>8826.24</v>
      </c>
      <c r="L263" s="2" t="s">
        <v>12</v>
      </c>
      <c r="M263">
        <f t="shared" si="4"/>
        <v>0.51960784313725494</v>
      </c>
    </row>
    <row r="264" spans="1:13" x14ac:dyDescent="0.35">
      <c r="A264" s="2">
        <v>1075</v>
      </c>
      <c r="B264" s="2">
        <v>263</v>
      </c>
      <c r="C264" s="2" t="s">
        <v>536</v>
      </c>
      <c r="D264" s="2">
        <v>72</v>
      </c>
      <c r="E264" s="2" t="str" cm="1">
        <f t="array" ref="E264">_xlfn.IFS(D264&gt;=60,"Senior",D264&gt;=23,"Adult",D264&gt;=18,"Teenager")</f>
        <v>Senior</v>
      </c>
      <c r="F264" s="2" t="s">
        <v>14</v>
      </c>
      <c r="G264" s="3">
        <v>45824</v>
      </c>
      <c r="H264" s="3">
        <v>45527</v>
      </c>
      <c r="I264" s="2" t="s">
        <v>537</v>
      </c>
      <c r="J264" s="2" t="s">
        <v>16</v>
      </c>
      <c r="K264" s="2">
        <v>16824.96</v>
      </c>
      <c r="L264" s="2" t="s">
        <v>19</v>
      </c>
      <c r="M264">
        <f t="shared" si="4"/>
        <v>0.52216748768472909</v>
      </c>
    </row>
    <row r="265" spans="1:13" x14ac:dyDescent="0.35">
      <c r="A265" s="2">
        <v>1072</v>
      </c>
      <c r="B265" s="2">
        <v>264</v>
      </c>
      <c r="C265" s="2" t="s">
        <v>538</v>
      </c>
      <c r="D265" s="2">
        <v>49</v>
      </c>
      <c r="E265" s="2" t="str" cm="1">
        <f t="array" ref="E265">_xlfn.IFS(D265&gt;=60,"Senior",D265&gt;=23,"Adult",D265&gt;=18,"Teenager")</f>
        <v>Adult</v>
      </c>
      <c r="F265" s="2" t="s">
        <v>9</v>
      </c>
      <c r="G265" s="3">
        <v>45760</v>
      </c>
      <c r="H265" s="3">
        <v>45570</v>
      </c>
      <c r="I265" s="2" t="s">
        <v>539</v>
      </c>
      <c r="J265" s="2" t="s">
        <v>33</v>
      </c>
      <c r="K265" s="2">
        <v>484.93</v>
      </c>
      <c r="L265" s="2" t="s">
        <v>12</v>
      </c>
      <c r="M265">
        <f t="shared" si="4"/>
        <v>0.51980198019801982</v>
      </c>
    </row>
    <row r="266" spans="1:13" x14ac:dyDescent="0.35">
      <c r="A266" s="2">
        <v>1001</v>
      </c>
      <c r="B266" s="2">
        <v>265</v>
      </c>
      <c r="C266" s="2" t="s">
        <v>540</v>
      </c>
      <c r="D266" s="2">
        <v>33</v>
      </c>
      <c r="E266" s="2" t="str" cm="1">
        <f t="array" ref="E266">_xlfn.IFS(D266&gt;=60,"Senior",D266&gt;=23,"Adult",D266&gt;=18,"Teenager")</f>
        <v>Adult</v>
      </c>
      <c r="F266" s="2" t="s">
        <v>9</v>
      </c>
      <c r="G266" s="3">
        <v>45975</v>
      </c>
      <c r="H266" s="3">
        <v>45906</v>
      </c>
      <c r="I266" s="2" t="s">
        <v>541</v>
      </c>
      <c r="J266" s="2" t="s">
        <v>16</v>
      </c>
      <c r="K266" s="2">
        <v>36665.279999999999</v>
      </c>
      <c r="L266" s="2" t="s">
        <v>12</v>
      </c>
      <c r="M266">
        <f t="shared" si="4"/>
        <v>0.52238805970149249</v>
      </c>
    </row>
    <row r="267" spans="1:13" x14ac:dyDescent="0.35">
      <c r="A267" s="2">
        <v>1009</v>
      </c>
      <c r="B267" s="2">
        <v>266</v>
      </c>
      <c r="C267" s="2" t="s">
        <v>542</v>
      </c>
      <c r="D267" s="2">
        <v>61</v>
      </c>
      <c r="E267" s="2" t="str" cm="1">
        <f t="array" ref="E267">_xlfn.IFS(D267&gt;=60,"Senior",D267&gt;=23,"Adult",D267&gt;=18,"Teenager")</f>
        <v>Senior</v>
      </c>
      <c r="F267" s="2" t="s">
        <v>14</v>
      </c>
      <c r="G267" s="3">
        <v>46023</v>
      </c>
      <c r="H267" s="3">
        <v>45883</v>
      </c>
      <c r="I267" s="2" t="s">
        <v>543</v>
      </c>
      <c r="J267" s="2" t="s">
        <v>11</v>
      </c>
      <c r="K267" s="2">
        <v>402.6</v>
      </c>
      <c r="L267" s="2" t="s">
        <v>12</v>
      </c>
      <c r="M267">
        <f t="shared" si="4"/>
        <v>0.52500000000000002</v>
      </c>
    </row>
    <row r="268" spans="1:13" x14ac:dyDescent="0.35">
      <c r="A268" s="2">
        <v>1016</v>
      </c>
      <c r="B268" s="2">
        <v>267</v>
      </c>
      <c r="C268" s="2" t="s">
        <v>544</v>
      </c>
      <c r="D268" s="2">
        <v>29</v>
      </c>
      <c r="E268" s="2" t="str" cm="1">
        <f t="array" ref="E268">_xlfn.IFS(D268&gt;=60,"Senior",D268&gt;=23,"Adult",D268&gt;=18,"Teenager")</f>
        <v>Adult</v>
      </c>
      <c r="F268" s="2" t="s">
        <v>14</v>
      </c>
      <c r="G268" s="3">
        <v>45971</v>
      </c>
      <c r="H268" s="3">
        <v>45794</v>
      </c>
      <c r="I268" s="2" t="s">
        <v>545</v>
      </c>
      <c r="J268" s="2" t="s">
        <v>26</v>
      </c>
      <c r="K268" s="2">
        <v>241.81</v>
      </c>
      <c r="L268" s="2" t="s">
        <v>19</v>
      </c>
      <c r="M268">
        <f t="shared" si="4"/>
        <v>0.52763819095477382</v>
      </c>
    </row>
    <row r="269" spans="1:13" x14ac:dyDescent="0.35">
      <c r="A269" s="2">
        <v>1092</v>
      </c>
      <c r="B269" s="2">
        <v>268</v>
      </c>
      <c r="C269" s="2" t="s">
        <v>546</v>
      </c>
      <c r="D269" s="2">
        <v>54</v>
      </c>
      <c r="E269" s="2" t="str" cm="1">
        <f t="array" ref="E269">_xlfn.IFS(D269&gt;=60,"Senior",D269&gt;=23,"Adult",D269&gt;=18,"Teenager")</f>
        <v>Adult</v>
      </c>
      <c r="F269" s="2" t="s">
        <v>14</v>
      </c>
      <c r="G269" s="3">
        <v>45870</v>
      </c>
      <c r="H269" s="3">
        <v>45419</v>
      </c>
      <c r="I269" s="2" t="s">
        <v>547</v>
      </c>
      <c r="J269" s="2" t="s">
        <v>11</v>
      </c>
      <c r="K269" s="2">
        <v>467.2</v>
      </c>
      <c r="L269" s="2" t="s">
        <v>19</v>
      </c>
      <c r="M269">
        <f t="shared" si="4"/>
        <v>0.5252525252525253</v>
      </c>
    </row>
    <row r="270" spans="1:13" x14ac:dyDescent="0.35">
      <c r="A270" s="2">
        <v>1037</v>
      </c>
      <c r="B270" s="2">
        <v>269</v>
      </c>
      <c r="C270" s="2" t="s">
        <v>548</v>
      </c>
      <c r="D270" s="2">
        <v>90</v>
      </c>
      <c r="E270" s="2" t="str" cm="1">
        <f t="array" ref="E270">_xlfn.IFS(D270&gt;=60,"Senior",D270&gt;=23,"Adult",D270&gt;=18,"Teenager")</f>
        <v>Senior</v>
      </c>
      <c r="F270" s="2" t="s">
        <v>14</v>
      </c>
      <c r="G270" s="3">
        <v>45881</v>
      </c>
      <c r="H270" s="3">
        <v>45510</v>
      </c>
      <c r="I270" s="2" t="s">
        <v>549</v>
      </c>
      <c r="J270" s="2" t="s">
        <v>26</v>
      </c>
      <c r="K270" s="2">
        <v>96.2</v>
      </c>
      <c r="L270" s="2" t="s">
        <v>12</v>
      </c>
      <c r="M270">
        <f t="shared" si="4"/>
        <v>0.52284263959390864</v>
      </c>
    </row>
    <row r="271" spans="1:13" x14ac:dyDescent="0.35">
      <c r="A271" s="2">
        <v>1071</v>
      </c>
      <c r="B271" s="2">
        <v>270</v>
      </c>
      <c r="C271" s="2" t="s">
        <v>550</v>
      </c>
      <c r="D271" s="2">
        <v>25</v>
      </c>
      <c r="E271" s="2" t="str" cm="1">
        <f t="array" ref="E271">_xlfn.IFS(D271&gt;=60,"Senior",D271&gt;=23,"Adult",D271&gt;=18,"Teenager")</f>
        <v>Adult</v>
      </c>
      <c r="F271" s="2" t="s">
        <v>9</v>
      </c>
      <c r="G271" s="3">
        <v>46077</v>
      </c>
      <c r="H271" s="3">
        <v>45982</v>
      </c>
      <c r="I271" s="2" t="s">
        <v>551</v>
      </c>
      <c r="J271" s="2" t="s">
        <v>11</v>
      </c>
      <c r="K271" s="2">
        <v>443.12</v>
      </c>
      <c r="L271" s="2" t="s">
        <v>12</v>
      </c>
      <c r="M271">
        <f t="shared" si="4"/>
        <v>0.52551020408163263</v>
      </c>
    </row>
    <row r="272" spans="1:13" x14ac:dyDescent="0.35">
      <c r="A272" s="2">
        <v>1023</v>
      </c>
      <c r="B272" s="2">
        <v>271</v>
      </c>
      <c r="C272" s="2" t="s">
        <v>552</v>
      </c>
      <c r="D272" s="2">
        <v>46</v>
      </c>
      <c r="E272" s="2" t="str" cm="1">
        <f t="array" ref="E272">_xlfn.IFS(D272&gt;=60,"Senior",D272&gt;=23,"Adult",D272&gt;=18,"Teenager")</f>
        <v>Adult</v>
      </c>
      <c r="F272" s="2" t="s">
        <v>9</v>
      </c>
      <c r="G272" s="3">
        <v>46060</v>
      </c>
      <c r="H272" s="3">
        <v>45645</v>
      </c>
      <c r="I272" s="2" t="s">
        <v>553</v>
      </c>
      <c r="J272" s="2" t="s">
        <v>16</v>
      </c>
      <c r="K272" s="2">
        <v>33786.239999999998</v>
      </c>
      <c r="L272" s="2" t="s">
        <v>19</v>
      </c>
      <c r="M272">
        <f t="shared" si="4"/>
        <v>0.52820512820512822</v>
      </c>
    </row>
    <row r="273" spans="1:13" x14ac:dyDescent="0.35">
      <c r="A273" s="2">
        <v>1074</v>
      </c>
      <c r="B273" s="2">
        <v>272</v>
      </c>
      <c r="C273" s="2" t="s">
        <v>554</v>
      </c>
      <c r="D273" s="2">
        <v>75</v>
      </c>
      <c r="E273" s="2" t="str" cm="1">
        <f t="array" ref="E273">_xlfn.IFS(D273&gt;=60,"Senior",D273&gt;=23,"Adult",D273&gt;=18,"Teenager")</f>
        <v>Senior</v>
      </c>
      <c r="F273" s="2" t="s">
        <v>14</v>
      </c>
      <c r="G273" s="3">
        <v>45884</v>
      </c>
      <c r="H273" s="3">
        <v>45459</v>
      </c>
      <c r="I273" s="2" t="s">
        <v>555</v>
      </c>
      <c r="J273" s="2" t="s">
        <v>16</v>
      </c>
      <c r="K273" s="2">
        <v>5716.8</v>
      </c>
      <c r="L273" s="2" t="s">
        <v>19</v>
      </c>
      <c r="M273">
        <f t="shared" si="4"/>
        <v>0.52577319587628868</v>
      </c>
    </row>
    <row r="274" spans="1:13" x14ac:dyDescent="0.35">
      <c r="A274" s="2">
        <v>1071</v>
      </c>
      <c r="B274" s="2">
        <v>273</v>
      </c>
      <c r="C274" s="2" t="s">
        <v>556</v>
      </c>
      <c r="D274" s="2">
        <v>88</v>
      </c>
      <c r="E274" s="2" t="str" cm="1">
        <f t="array" ref="E274">_xlfn.IFS(D274&gt;=60,"Senior",D274&gt;=23,"Adult",D274&gt;=18,"Teenager")</f>
        <v>Senior</v>
      </c>
      <c r="F274" s="2" t="s">
        <v>14</v>
      </c>
      <c r="G274" s="3">
        <v>45789</v>
      </c>
      <c r="H274" s="3">
        <v>45506</v>
      </c>
      <c r="I274" s="2" t="s">
        <v>557</v>
      </c>
      <c r="J274" s="2" t="s">
        <v>16</v>
      </c>
      <c r="K274" s="2">
        <v>344.57</v>
      </c>
      <c r="L274" s="2" t="s">
        <v>19</v>
      </c>
      <c r="M274">
        <f t="shared" si="4"/>
        <v>0.52331606217616577</v>
      </c>
    </row>
    <row r="275" spans="1:13" x14ac:dyDescent="0.35">
      <c r="A275" s="2">
        <v>1039</v>
      </c>
      <c r="B275" s="2">
        <v>274</v>
      </c>
      <c r="C275" s="2" t="s">
        <v>558</v>
      </c>
      <c r="D275" s="2">
        <v>47</v>
      </c>
      <c r="E275" s="2" t="str" cm="1">
        <f t="array" ref="E275">_xlfn.IFS(D275&gt;=60,"Senior",D275&gt;=23,"Adult",D275&gt;=18,"Teenager")</f>
        <v>Adult</v>
      </c>
      <c r="F275" s="2" t="s">
        <v>9</v>
      </c>
      <c r="G275" s="3">
        <v>45827</v>
      </c>
      <c r="H275" s="3">
        <v>45419</v>
      </c>
      <c r="I275" s="2" t="s">
        <v>559</v>
      </c>
      <c r="J275" s="2" t="s">
        <v>33</v>
      </c>
      <c r="K275" s="2">
        <v>18981.12</v>
      </c>
      <c r="L275" s="2" t="s">
        <v>19</v>
      </c>
      <c r="M275">
        <f t="shared" si="4"/>
        <v>0.52083333333333337</v>
      </c>
    </row>
    <row r="276" spans="1:13" x14ac:dyDescent="0.35">
      <c r="A276" s="2">
        <v>1084</v>
      </c>
      <c r="B276" s="2">
        <v>275</v>
      </c>
      <c r="C276" s="2" t="s">
        <v>560</v>
      </c>
      <c r="D276" s="2">
        <v>71</v>
      </c>
      <c r="E276" s="2" t="str" cm="1">
        <f t="array" ref="E276">_xlfn.IFS(D276&gt;=60,"Senior",D276&gt;=23,"Adult",D276&gt;=18,"Teenager")</f>
        <v>Senior</v>
      </c>
      <c r="F276" s="2" t="s">
        <v>14</v>
      </c>
      <c r="G276" s="3">
        <v>45767</v>
      </c>
      <c r="H276" s="3">
        <v>45504</v>
      </c>
      <c r="I276" s="2" t="s">
        <v>561</v>
      </c>
      <c r="J276" s="2" t="s">
        <v>26</v>
      </c>
      <c r="K276" s="2">
        <v>9158.4</v>
      </c>
      <c r="L276" s="2" t="s">
        <v>12</v>
      </c>
      <c r="M276">
        <f t="shared" si="4"/>
        <v>0.51832460732984298</v>
      </c>
    </row>
    <row r="277" spans="1:13" x14ac:dyDescent="0.35">
      <c r="A277" s="2">
        <v>1053</v>
      </c>
      <c r="B277" s="2">
        <v>276</v>
      </c>
      <c r="C277" s="2" t="s">
        <v>562</v>
      </c>
      <c r="D277" s="2">
        <v>70</v>
      </c>
      <c r="E277" s="2" t="str" cm="1">
        <f t="array" ref="E277">_xlfn.IFS(D277&gt;=60,"Senior",D277&gt;=23,"Adult",D277&gt;=18,"Teenager")</f>
        <v>Senior</v>
      </c>
      <c r="F277" s="2" t="s">
        <v>14</v>
      </c>
      <c r="G277" s="3">
        <v>46012</v>
      </c>
      <c r="H277" s="3">
        <v>45876</v>
      </c>
      <c r="I277" s="2" t="s">
        <v>563</v>
      </c>
      <c r="J277" s="2" t="s">
        <v>16</v>
      </c>
      <c r="K277" s="2">
        <v>389.49</v>
      </c>
      <c r="L277" s="2" t="s">
        <v>12</v>
      </c>
      <c r="M277">
        <f t="shared" si="4"/>
        <v>0.52105263157894732</v>
      </c>
    </row>
    <row r="278" spans="1:13" x14ac:dyDescent="0.35">
      <c r="A278" s="2">
        <v>1075</v>
      </c>
      <c r="B278" s="2">
        <v>277</v>
      </c>
      <c r="C278" s="2" t="s">
        <v>564</v>
      </c>
      <c r="D278" s="2">
        <v>67</v>
      </c>
      <c r="E278" s="2" t="str" cm="1">
        <f t="array" ref="E278">_xlfn.IFS(D278&gt;=60,"Senior",D278&gt;=23,"Adult",D278&gt;=18,"Teenager")</f>
        <v>Senior</v>
      </c>
      <c r="F278" s="2" t="s">
        <v>9</v>
      </c>
      <c r="G278" s="3">
        <v>45820</v>
      </c>
      <c r="H278" s="3">
        <v>45795</v>
      </c>
      <c r="I278" s="2" t="s">
        <v>565</v>
      </c>
      <c r="J278" s="2" t="s">
        <v>16</v>
      </c>
      <c r="K278" s="2">
        <v>15504</v>
      </c>
      <c r="L278" s="2" t="s">
        <v>12</v>
      </c>
      <c r="M278">
        <f t="shared" si="4"/>
        <v>0.52380952380952384</v>
      </c>
    </row>
    <row r="279" spans="1:13" x14ac:dyDescent="0.35">
      <c r="A279" s="2">
        <v>1100</v>
      </c>
      <c r="B279" s="2">
        <v>278</v>
      </c>
      <c r="C279" s="2" t="s">
        <v>566</v>
      </c>
      <c r="D279" s="2">
        <v>60</v>
      </c>
      <c r="E279" s="2" t="str" cm="1">
        <f t="array" ref="E279">_xlfn.IFS(D279&gt;=60,"Senior",D279&gt;=23,"Adult",D279&gt;=18,"Teenager")</f>
        <v>Senior</v>
      </c>
      <c r="F279" s="2" t="s">
        <v>14</v>
      </c>
      <c r="G279" s="3">
        <v>46068</v>
      </c>
      <c r="H279" s="3">
        <v>45396</v>
      </c>
      <c r="I279" s="2" t="s">
        <v>567</v>
      </c>
      <c r="J279" s="2" t="s">
        <v>16</v>
      </c>
      <c r="K279" s="2">
        <v>455.57</v>
      </c>
      <c r="L279" s="2" t="s">
        <v>19</v>
      </c>
      <c r="M279">
        <f t="shared" si="4"/>
        <v>0.52659574468085102</v>
      </c>
    </row>
    <row r="280" spans="1:13" x14ac:dyDescent="0.35">
      <c r="A280" s="2">
        <v>1030</v>
      </c>
      <c r="B280" s="2">
        <v>279</v>
      </c>
      <c r="C280" s="2" t="s">
        <v>568</v>
      </c>
      <c r="D280" s="2">
        <v>69</v>
      </c>
      <c r="E280" s="2" t="str" cm="1">
        <f t="array" ref="E280">_xlfn.IFS(D280&gt;=60,"Senior",D280&gt;=23,"Adult",D280&gt;=18,"Teenager")</f>
        <v>Senior</v>
      </c>
      <c r="F280" s="2" t="s">
        <v>14</v>
      </c>
      <c r="G280" s="3">
        <v>46054</v>
      </c>
      <c r="H280" s="3">
        <v>45558</v>
      </c>
      <c r="I280" s="2" t="s">
        <v>569</v>
      </c>
      <c r="J280" s="2" t="s">
        <v>16</v>
      </c>
      <c r="K280" s="2">
        <v>224.83</v>
      </c>
      <c r="L280" s="2" t="s">
        <v>19</v>
      </c>
      <c r="M280">
        <f t="shared" si="4"/>
        <v>0.52406417112299464</v>
      </c>
    </row>
    <row r="281" spans="1:13" x14ac:dyDescent="0.35">
      <c r="A281" s="2">
        <v>1093</v>
      </c>
      <c r="B281" s="2">
        <v>280</v>
      </c>
      <c r="C281" s="2" t="s">
        <v>570</v>
      </c>
      <c r="D281" s="2">
        <v>72</v>
      </c>
      <c r="E281" s="2" t="str" cm="1">
        <f t="array" ref="E281">_xlfn.IFS(D281&gt;=60,"Senior",D281&gt;=23,"Adult",D281&gt;=18,"Teenager")</f>
        <v>Senior</v>
      </c>
      <c r="F281" s="2" t="s">
        <v>14</v>
      </c>
      <c r="G281" s="3">
        <v>45828</v>
      </c>
      <c r="H281" s="3">
        <v>45553</v>
      </c>
      <c r="I281" s="2" t="s">
        <v>571</v>
      </c>
      <c r="J281" s="2" t="s">
        <v>11</v>
      </c>
      <c r="K281" s="2">
        <v>18676.8</v>
      </c>
      <c r="L281" s="2" t="s">
        <v>19</v>
      </c>
      <c r="M281">
        <f t="shared" si="4"/>
        <v>0.521505376344086</v>
      </c>
    </row>
    <row r="282" spans="1:13" x14ac:dyDescent="0.35">
      <c r="A282" s="2">
        <v>1090</v>
      </c>
      <c r="B282" s="2">
        <v>281</v>
      </c>
      <c r="C282" s="2" t="s">
        <v>572</v>
      </c>
      <c r="D282" s="2">
        <v>30</v>
      </c>
      <c r="E282" s="2" t="str" cm="1">
        <f t="array" ref="E282">_xlfn.IFS(D282&gt;=60,"Senior",D282&gt;=23,"Adult",D282&gt;=18,"Teenager")</f>
        <v>Adult</v>
      </c>
      <c r="F282" s="2" t="s">
        <v>9</v>
      </c>
      <c r="G282" s="3">
        <v>45801</v>
      </c>
      <c r="H282" s="3">
        <v>45419</v>
      </c>
      <c r="I282" s="2" t="s">
        <v>573</v>
      </c>
      <c r="J282" s="2" t="s">
        <v>16</v>
      </c>
      <c r="K282" s="2">
        <v>139.49</v>
      </c>
      <c r="L282" s="2" t="s">
        <v>19</v>
      </c>
      <c r="M282">
        <f t="shared" si="4"/>
        <v>0.51891891891891895</v>
      </c>
    </row>
    <row r="283" spans="1:13" x14ac:dyDescent="0.35">
      <c r="A283" s="2">
        <v>1055</v>
      </c>
      <c r="B283" s="2">
        <v>282</v>
      </c>
      <c r="C283" s="2" t="s">
        <v>574</v>
      </c>
      <c r="D283" s="2">
        <v>70</v>
      </c>
      <c r="E283" s="2" t="str" cm="1">
        <f t="array" ref="E283">_xlfn.IFS(D283&gt;=60,"Senior",D283&gt;=23,"Adult",D283&gt;=18,"Teenager")</f>
        <v>Senior</v>
      </c>
      <c r="F283" s="2" t="s">
        <v>9</v>
      </c>
      <c r="G283" s="3">
        <v>45895</v>
      </c>
      <c r="H283" s="3">
        <v>45645</v>
      </c>
      <c r="I283" s="2" t="s">
        <v>575</v>
      </c>
      <c r="J283" s="2" t="s">
        <v>33</v>
      </c>
      <c r="K283" s="2">
        <v>20415.36</v>
      </c>
      <c r="L283" s="2" t="s">
        <v>12</v>
      </c>
      <c r="M283">
        <f t="shared" si="4"/>
        <v>0.51630434782608692</v>
      </c>
    </row>
    <row r="284" spans="1:13" x14ac:dyDescent="0.35">
      <c r="A284" s="2">
        <v>1018</v>
      </c>
      <c r="B284" s="2">
        <v>283</v>
      </c>
      <c r="C284" s="2" t="s">
        <v>576</v>
      </c>
      <c r="D284" s="2">
        <v>56</v>
      </c>
      <c r="E284" s="2" t="str" cm="1">
        <f t="array" ref="E284">_xlfn.IFS(D284&gt;=60,"Senior",D284&gt;=23,"Adult",D284&gt;=18,"Teenager")</f>
        <v>Adult</v>
      </c>
      <c r="F284" s="2" t="s">
        <v>9</v>
      </c>
      <c r="G284" s="3">
        <v>46081</v>
      </c>
      <c r="H284" s="3">
        <v>45696</v>
      </c>
      <c r="I284" s="2" t="s">
        <v>577</v>
      </c>
      <c r="J284" s="2" t="s">
        <v>26</v>
      </c>
      <c r="K284" s="2">
        <v>68.8</v>
      </c>
      <c r="L284" s="2" t="s">
        <v>19</v>
      </c>
      <c r="M284">
        <f t="shared" si="4"/>
        <v>0.51912568306010931</v>
      </c>
    </row>
    <row r="285" spans="1:13" x14ac:dyDescent="0.35">
      <c r="A285" s="2">
        <v>1032</v>
      </c>
      <c r="B285" s="2">
        <v>284</v>
      </c>
      <c r="C285" s="2" t="s">
        <v>578</v>
      </c>
      <c r="D285" s="2">
        <v>89</v>
      </c>
      <c r="E285" s="2" t="str" cm="1">
        <f t="array" ref="E285">_xlfn.IFS(D285&gt;=60,"Senior",D285&gt;=23,"Adult",D285&gt;=18,"Teenager")</f>
        <v>Senior</v>
      </c>
      <c r="F285" s="2" t="s">
        <v>14</v>
      </c>
      <c r="G285" s="3">
        <v>46071</v>
      </c>
      <c r="H285" s="3">
        <v>45599</v>
      </c>
      <c r="I285" s="2" t="s">
        <v>579</v>
      </c>
      <c r="J285" s="2" t="s">
        <v>33</v>
      </c>
      <c r="K285" s="2">
        <v>224.61</v>
      </c>
      <c r="L285" s="2" t="s">
        <v>12</v>
      </c>
      <c r="M285">
        <f t="shared" si="4"/>
        <v>0.51648351648351654</v>
      </c>
    </row>
    <row r="286" spans="1:13" x14ac:dyDescent="0.35">
      <c r="A286" s="2">
        <v>1024</v>
      </c>
      <c r="B286" s="2">
        <v>285</v>
      </c>
      <c r="C286" s="2" t="s">
        <v>580</v>
      </c>
      <c r="D286" s="2">
        <v>20</v>
      </c>
      <c r="E286" s="2" t="str" cm="1">
        <f t="array" ref="E286">_xlfn.IFS(D286&gt;=60,"Senior",D286&gt;=23,"Adult",D286&gt;=18,"Teenager")</f>
        <v>Teenager</v>
      </c>
      <c r="F286" s="2" t="s">
        <v>14</v>
      </c>
      <c r="G286" s="3">
        <v>45977</v>
      </c>
      <c r="H286" s="3">
        <v>45615</v>
      </c>
      <c r="I286" s="2" t="s">
        <v>581</v>
      </c>
      <c r="J286" s="2" t="s">
        <v>11</v>
      </c>
      <c r="K286" s="2">
        <v>18282.240000000002</v>
      </c>
      <c r="L286" s="2" t="s">
        <v>12</v>
      </c>
      <c r="M286">
        <f t="shared" si="4"/>
        <v>0.51933701657458564</v>
      </c>
    </row>
    <row r="287" spans="1:13" x14ac:dyDescent="0.35">
      <c r="A287" s="2">
        <v>1044</v>
      </c>
      <c r="B287" s="2">
        <v>286</v>
      </c>
      <c r="C287" s="2" t="s">
        <v>582</v>
      </c>
      <c r="D287" s="2">
        <v>25</v>
      </c>
      <c r="E287" s="2" t="str" cm="1">
        <f t="array" ref="E287">_xlfn.IFS(D287&gt;=60,"Senior",D287&gt;=23,"Adult",D287&gt;=18,"Teenager")</f>
        <v>Adult</v>
      </c>
      <c r="F287" s="2" t="s">
        <v>9</v>
      </c>
      <c r="G287" s="3">
        <v>46089</v>
      </c>
      <c r="H287" s="3">
        <v>45972</v>
      </c>
      <c r="I287" s="2" t="s">
        <v>583</v>
      </c>
      <c r="J287" s="2" t="s">
        <v>11</v>
      </c>
      <c r="K287" s="2">
        <v>30397.439999999999</v>
      </c>
      <c r="L287" s="2" t="s">
        <v>19</v>
      </c>
      <c r="M287">
        <f t="shared" si="4"/>
        <v>0.52222222222222225</v>
      </c>
    </row>
    <row r="288" spans="1:13" x14ac:dyDescent="0.35">
      <c r="A288" s="2">
        <v>1085</v>
      </c>
      <c r="B288" s="2">
        <v>287</v>
      </c>
      <c r="C288" s="2" t="s">
        <v>584</v>
      </c>
      <c r="D288" s="2">
        <v>67</v>
      </c>
      <c r="E288" s="2" t="str" cm="1">
        <f t="array" ref="E288">_xlfn.IFS(D288&gt;=60,"Senior",D288&gt;=23,"Adult",D288&gt;=18,"Teenager")</f>
        <v>Senior</v>
      </c>
      <c r="F288" s="2" t="s">
        <v>9</v>
      </c>
      <c r="G288" s="3">
        <v>45797</v>
      </c>
      <c r="H288" s="3">
        <v>45736</v>
      </c>
      <c r="I288" s="2" t="s">
        <v>585</v>
      </c>
      <c r="J288" s="2" t="s">
        <v>33</v>
      </c>
      <c r="K288" s="2">
        <v>308.58999999999997</v>
      </c>
      <c r="L288" s="2" t="s">
        <v>12</v>
      </c>
      <c r="M288">
        <f t="shared" si="4"/>
        <v>0.51955307262569828</v>
      </c>
    </row>
    <row r="289" spans="1:13" x14ac:dyDescent="0.35">
      <c r="A289" s="2">
        <v>1089</v>
      </c>
      <c r="B289" s="2">
        <v>288</v>
      </c>
      <c r="C289" s="2" t="s">
        <v>586</v>
      </c>
      <c r="D289" s="2">
        <v>75</v>
      </c>
      <c r="E289" s="2" t="str" cm="1">
        <f t="array" ref="E289">_xlfn.IFS(D289&gt;=60,"Senior",D289&gt;=23,"Adult",D289&gt;=18,"Teenager")</f>
        <v>Senior</v>
      </c>
      <c r="F289" s="2" t="s">
        <v>9</v>
      </c>
      <c r="G289" s="3">
        <v>45991</v>
      </c>
      <c r="H289" s="3">
        <v>45813</v>
      </c>
      <c r="I289" s="2" t="s">
        <v>587</v>
      </c>
      <c r="J289" s="2" t="s">
        <v>26</v>
      </c>
      <c r="K289" s="2">
        <v>39799.68</v>
      </c>
      <c r="L289" s="2" t="s">
        <v>19</v>
      </c>
      <c r="M289">
        <f t="shared" si="4"/>
        <v>0.52247191011235961</v>
      </c>
    </row>
    <row r="290" spans="1:13" x14ac:dyDescent="0.35">
      <c r="A290" s="2">
        <v>1092</v>
      </c>
      <c r="B290" s="2">
        <v>289</v>
      </c>
      <c r="C290" s="2" t="s">
        <v>588</v>
      </c>
      <c r="D290" s="2">
        <v>89</v>
      </c>
      <c r="E290" s="2" t="str" cm="1">
        <f t="array" ref="E290">_xlfn.IFS(D290&gt;=60,"Senior",D290&gt;=23,"Adult",D290&gt;=18,"Teenager")</f>
        <v>Senior</v>
      </c>
      <c r="F290" s="2" t="s">
        <v>9</v>
      </c>
      <c r="G290" s="3">
        <v>45840</v>
      </c>
      <c r="H290" s="3">
        <v>45755</v>
      </c>
      <c r="I290" s="2" t="s">
        <v>589</v>
      </c>
      <c r="J290" s="2" t="s">
        <v>11</v>
      </c>
      <c r="K290" s="2">
        <v>17897.28</v>
      </c>
      <c r="L290" s="2" t="s">
        <v>12</v>
      </c>
      <c r="M290">
        <f t="shared" si="4"/>
        <v>0.51977401129943501</v>
      </c>
    </row>
    <row r="291" spans="1:13" x14ac:dyDescent="0.35">
      <c r="A291" s="2">
        <v>1084</v>
      </c>
      <c r="B291" s="2">
        <v>290</v>
      </c>
      <c r="C291" s="2" t="s">
        <v>590</v>
      </c>
      <c r="D291" s="2">
        <v>42</v>
      </c>
      <c r="E291" s="2" t="str" cm="1">
        <f t="array" ref="E291">_xlfn.IFS(D291&gt;=60,"Senior",D291&gt;=23,"Adult",D291&gt;=18,"Teenager")</f>
        <v>Adult</v>
      </c>
      <c r="F291" s="2" t="s">
        <v>9</v>
      </c>
      <c r="G291" s="3">
        <v>45796</v>
      </c>
      <c r="H291" s="3">
        <v>45484</v>
      </c>
      <c r="I291" s="2" t="s">
        <v>591</v>
      </c>
      <c r="J291" s="2" t="s">
        <v>11</v>
      </c>
      <c r="K291" s="2">
        <v>268.93</v>
      </c>
      <c r="L291" s="2" t="s">
        <v>12</v>
      </c>
      <c r="M291">
        <f t="shared" si="4"/>
        <v>0.52272727272727271</v>
      </c>
    </row>
    <row r="292" spans="1:13" x14ac:dyDescent="0.35">
      <c r="A292" s="2">
        <v>1080</v>
      </c>
      <c r="B292" s="2">
        <v>291</v>
      </c>
      <c r="C292" s="2" t="s">
        <v>592</v>
      </c>
      <c r="D292" s="2">
        <v>80</v>
      </c>
      <c r="E292" s="2" t="str" cm="1">
        <f t="array" ref="E292">_xlfn.IFS(D292&gt;=60,"Senior",D292&gt;=23,"Adult",D292&gt;=18,"Teenager")</f>
        <v>Senior</v>
      </c>
      <c r="F292" s="2" t="s">
        <v>14</v>
      </c>
      <c r="G292" s="3">
        <v>46113</v>
      </c>
      <c r="H292" s="3">
        <v>45948</v>
      </c>
      <c r="I292" s="2" t="s">
        <v>593</v>
      </c>
      <c r="J292" s="2" t="s">
        <v>11</v>
      </c>
      <c r="K292" s="2">
        <v>47888.639999999999</v>
      </c>
      <c r="L292" s="2" t="s">
        <v>12</v>
      </c>
      <c r="M292">
        <f t="shared" si="4"/>
        <v>0.52571428571428569</v>
      </c>
    </row>
    <row r="293" spans="1:13" x14ac:dyDescent="0.35">
      <c r="A293" s="2">
        <v>1035</v>
      </c>
      <c r="B293" s="2">
        <v>292</v>
      </c>
      <c r="C293" s="2" t="s">
        <v>594</v>
      </c>
      <c r="D293" s="2">
        <v>75</v>
      </c>
      <c r="E293" s="2" t="str" cm="1">
        <f t="array" ref="E293">_xlfn.IFS(D293&gt;=60,"Senior",D293&gt;=23,"Adult",D293&gt;=18,"Teenager")</f>
        <v>Senior</v>
      </c>
      <c r="F293" s="2" t="s">
        <v>14</v>
      </c>
      <c r="G293" s="3">
        <v>45982</v>
      </c>
      <c r="H293" s="3">
        <v>45659</v>
      </c>
      <c r="I293" s="2" t="s">
        <v>595</v>
      </c>
      <c r="J293" s="2" t="s">
        <v>11</v>
      </c>
      <c r="K293" s="2">
        <v>274.5</v>
      </c>
      <c r="L293" s="2" t="s">
        <v>19</v>
      </c>
      <c r="M293">
        <f t="shared" si="4"/>
        <v>0.52873563218390807</v>
      </c>
    </row>
    <row r="294" spans="1:13" x14ac:dyDescent="0.35">
      <c r="A294" s="2">
        <v>1016</v>
      </c>
      <c r="B294" s="2">
        <v>293</v>
      </c>
      <c r="C294" s="2" t="s">
        <v>596</v>
      </c>
      <c r="D294" s="2">
        <v>46</v>
      </c>
      <c r="E294" s="2" t="str" cm="1">
        <f t="array" ref="E294">_xlfn.IFS(D294&gt;=60,"Senior",D294&gt;=23,"Adult",D294&gt;=18,"Teenager")</f>
        <v>Adult</v>
      </c>
      <c r="F294" s="2" t="s">
        <v>14</v>
      </c>
      <c r="G294" s="3">
        <v>45826</v>
      </c>
      <c r="H294" s="3">
        <v>45584</v>
      </c>
      <c r="I294" s="2" t="s">
        <v>597</v>
      </c>
      <c r="J294" s="2" t="s">
        <v>33</v>
      </c>
      <c r="K294" s="2">
        <v>353.07</v>
      </c>
      <c r="L294" s="2" t="s">
        <v>19</v>
      </c>
      <c r="M294">
        <f t="shared" si="4"/>
        <v>0.52601156069364163</v>
      </c>
    </row>
    <row r="295" spans="1:13" x14ac:dyDescent="0.35">
      <c r="A295" s="2">
        <v>1012</v>
      </c>
      <c r="B295" s="2">
        <v>294</v>
      </c>
      <c r="C295" s="2" t="s">
        <v>598</v>
      </c>
      <c r="D295" s="2">
        <v>38</v>
      </c>
      <c r="E295" s="2" t="str" cm="1">
        <f t="array" ref="E295">_xlfn.IFS(D295&gt;=60,"Senior",D295&gt;=23,"Adult",D295&gt;=18,"Teenager")</f>
        <v>Adult</v>
      </c>
      <c r="F295" s="2" t="s">
        <v>14</v>
      </c>
      <c r="G295" s="3">
        <v>46054</v>
      </c>
      <c r="H295" s="3">
        <v>45398</v>
      </c>
      <c r="I295" s="2" t="s">
        <v>599</v>
      </c>
      <c r="J295" s="2" t="s">
        <v>33</v>
      </c>
      <c r="K295" s="2">
        <v>41043.839999999997</v>
      </c>
      <c r="L295" s="2" t="s">
        <v>12</v>
      </c>
      <c r="M295">
        <f t="shared" si="4"/>
        <v>0.52325581395348841</v>
      </c>
    </row>
    <row r="296" spans="1:13" x14ac:dyDescent="0.35">
      <c r="A296" s="2">
        <v>1100</v>
      </c>
      <c r="B296" s="2">
        <v>295</v>
      </c>
      <c r="C296" s="2" t="s">
        <v>600</v>
      </c>
      <c r="D296" s="2">
        <v>60</v>
      </c>
      <c r="E296" s="2" t="str" cm="1">
        <f t="array" ref="E296">_xlfn.IFS(D296&gt;=60,"Senior",D296&gt;=23,"Adult",D296&gt;=18,"Teenager")</f>
        <v>Senior</v>
      </c>
      <c r="F296" s="2" t="s">
        <v>9</v>
      </c>
      <c r="G296" s="3">
        <v>45907</v>
      </c>
      <c r="H296" s="3">
        <v>45395</v>
      </c>
      <c r="I296" s="2" t="s">
        <v>601</v>
      </c>
      <c r="J296" s="2" t="s">
        <v>33</v>
      </c>
      <c r="K296" s="2">
        <v>433.05</v>
      </c>
      <c r="L296" s="2" t="s">
        <v>19</v>
      </c>
      <c r="M296">
        <f t="shared" si="4"/>
        <v>0.52631578947368418</v>
      </c>
    </row>
    <row r="297" spans="1:13" x14ac:dyDescent="0.35">
      <c r="A297" s="2">
        <v>1094</v>
      </c>
      <c r="B297" s="2">
        <v>296</v>
      </c>
      <c r="C297" s="2" t="s">
        <v>602</v>
      </c>
      <c r="D297" s="2">
        <v>60</v>
      </c>
      <c r="E297" s="2" t="str" cm="1">
        <f t="array" ref="E297">_xlfn.IFS(D297&gt;=60,"Senior",D297&gt;=23,"Adult",D297&gt;=18,"Teenager")</f>
        <v>Senior</v>
      </c>
      <c r="F297" s="2" t="s">
        <v>14</v>
      </c>
      <c r="G297" s="3">
        <v>45888</v>
      </c>
      <c r="H297" s="3">
        <v>45680</v>
      </c>
      <c r="I297" s="2" t="s">
        <v>603</v>
      </c>
      <c r="J297" s="2" t="s">
        <v>16</v>
      </c>
      <c r="K297" s="2">
        <v>40487.040000000001</v>
      </c>
      <c r="L297" s="2" t="s">
        <v>19</v>
      </c>
      <c r="M297">
        <f t="shared" si="4"/>
        <v>0.52352941176470591</v>
      </c>
    </row>
    <row r="298" spans="1:13" x14ac:dyDescent="0.35">
      <c r="A298" s="2">
        <v>1056</v>
      </c>
      <c r="B298" s="2">
        <v>297</v>
      </c>
      <c r="C298" s="2" t="s">
        <v>604</v>
      </c>
      <c r="D298" s="2">
        <v>82</v>
      </c>
      <c r="E298" s="2" t="str" cm="1">
        <f t="array" ref="E298">_xlfn.IFS(D298&gt;=60,"Senior",D298&gt;=23,"Adult",D298&gt;=18,"Teenager")</f>
        <v>Senior</v>
      </c>
      <c r="F298" s="2" t="s">
        <v>14</v>
      </c>
      <c r="G298" s="3">
        <v>46026</v>
      </c>
      <c r="H298" s="3">
        <v>45763</v>
      </c>
      <c r="I298" s="2" t="s">
        <v>605</v>
      </c>
      <c r="J298" s="2" t="s">
        <v>16</v>
      </c>
      <c r="K298" s="2">
        <v>203.05</v>
      </c>
      <c r="L298" s="2" t="s">
        <v>12</v>
      </c>
      <c r="M298">
        <f t="shared" si="4"/>
        <v>0.52071005917159763</v>
      </c>
    </row>
    <row r="299" spans="1:13" x14ac:dyDescent="0.35">
      <c r="A299" s="2">
        <v>1088</v>
      </c>
      <c r="B299" s="2">
        <v>298</v>
      </c>
      <c r="C299" s="2" t="s">
        <v>606</v>
      </c>
      <c r="D299" s="2">
        <v>79</v>
      </c>
      <c r="E299" s="2" t="str" cm="1">
        <f t="array" ref="E299">_xlfn.IFS(D299&gt;=60,"Senior",D299&gt;=23,"Adult",D299&gt;=18,"Teenager")</f>
        <v>Senior</v>
      </c>
      <c r="F299" s="2" t="s">
        <v>9</v>
      </c>
      <c r="G299" s="3">
        <v>45982</v>
      </c>
      <c r="H299" s="3">
        <v>45911</v>
      </c>
      <c r="I299" s="2" t="s">
        <v>607</v>
      </c>
      <c r="J299" s="2" t="s">
        <v>33</v>
      </c>
      <c r="K299" s="2">
        <v>32366.400000000001</v>
      </c>
      <c r="L299" s="2" t="s">
        <v>12</v>
      </c>
      <c r="M299">
        <f t="shared" si="4"/>
        <v>0.52380952380952384</v>
      </c>
    </row>
    <row r="300" spans="1:13" x14ac:dyDescent="0.35">
      <c r="A300" s="2">
        <v>1076</v>
      </c>
      <c r="B300" s="2">
        <v>299</v>
      </c>
      <c r="C300" s="2" t="s">
        <v>608</v>
      </c>
      <c r="D300" s="2">
        <v>19</v>
      </c>
      <c r="E300" s="2" t="str" cm="1">
        <f t="array" ref="E300">_xlfn.IFS(D300&gt;=60,"Senior",D300&gt;=23,"Adult",D300&gt;=18,"Teenager")</f>
        <v>Teenager</v>
      </c>
      <c r="F300" s="2" t="s">
        <v>9</v>
      </c>
      <c r="G300" s="3">
        <v>46075</v>
      </c>
      <c r="H300" s="3">
        <v>45820</v>
      </c>
      <c r="I300" s="2" t="s">
        <v>609</v>
      </c>
      <c r="J300" s="2" t="s">
        <v>33</v>
      </c>
      <c r="K300" s="2">
        <v>42813.120000000003</v>
      </c>
      <c r="L300" s="2" t="s">
        <v>19</v>
      </c>
      <c r="M300">
        <f t="shared" si="4"/>
        <v>0.52694610778443118</v>
      </c>
    </row>
    <row r="301" spans="1:13" x14ac:dyDescent="0.35">
      <c r="A301" s="2">
        <v>1005</v>
      </c>
      <c r="B301" s="2">
        <v>300</v>
      </c>
      <c r="C301" s="2" t="s">
        <v>610</v>
      </c>
      <c r="D301" s="2">
        <v>55</v>
      </c>
      <c r="E301" s="2" t="str" cm="1">
        <f t="array" ref="E301">_xlfn.IFS(D301&gt;=60,"Senior",D301&gt;=23,"Adult",D301&gt;=18,"Teenager")</f>
        <v>Adult</v>
      </c>
      <c r="F301" s="2" t="s">
        <v>9</v>
      </c>
      <c r="G301" s="3">
        <v>45876</v>
      </c>
      <c r="H301" s="3">
        <v>45447</v>
      </c>
      <c r="I301" s="2" t="s">
        <v>611</v>
      </c>
      <c r="J301" s="2" t="s">
        <v>26</v>
      </c>
      <c r="K301" s="2">
        <v>12031.68</v>
      </c>
      <c r="L301" s="2" t="s">
        <v>12</v>
      </c>
      <c r="M301">
        <f t="shared" si="4"/>
        <v>0.52409638554216864</v>
      </c>
    </row>
    <row r="302" spans="1:13" x14ac:dyDescent="0.35">
      <c r="A302" s="2">
        <v>1018</v>
      </c>
      <c r="B302" s="2">
        <v>301</v>
      </c>
      <c r="C302" s="2" t="s">
        <v>612</v>
      </c>
      <c r="D302" s="2">
        <v>68</v>
      </c>
      <c r="E302" s="2" t="str" cm="1">
        <f t="array" ref="E302">_xlfn.IFS(D302&gt;=60,"Senior",D302&gt;=23,"Adult",D302&gt;=18,"Teenager")</f>
        <v>Senior</v>
      </c>
      <c r="F302" s="2" t="s">
        <v>14</v>
      </c>
      <c r="G302" s="3">
        <v>45769</v>
      </c>
      <c r="H302" s="3">
        <v>45750</v>
      </c>
      <c r="I302" s="2" t="s">
        <v>613</v>
      </c>
      <c r="J302" s="2" t="s">
        <v>16</v>
      </c>
      <c r="K302" s="2">
        <v>305.01</v>
      </c>
      <c r="L302" s="2" t="s">
        <v>12</v>
      </c>
      <c r="M302">
        <f t="shared" si="4"/>
        <v>0.52727272727272723</v>
      </c>
    </row>
    <row r="303" spans="1:13" x14ac:dyDescent="0.35">
      <c r="A303" s="2">
        <v>1092</v>
      </c>
      <c r="B303" s="2">
        <v>302</v>
      </c>
      <c r="C303" s="2" t="s">
        <v>614</v>
      </c>
      <c r="D303" s="2">
        <v>68</v>
      </c>
      <c r="E303" s="2" t="str" cm="1">
        <f t="array" ref="E303">_xlfn.IFS(D303&gt;=60,"Senior",D303&gt;=23,"Adult",D303&gt;=18,"Teenager")</f>
        <v>Senior</v>
      </c>
      <c r="F303" s="2" t="s">
        <v>9</v>
      </c>
      <c r="G303" s="3">
        <v>45831</v>
      </c>
      <c r="H303" s="3">
        <v>45589</v>
      </c>
      <c r="I303" s="2" t="s">
        <v>615</v>
      </c>
      <c r="J303" s="2" t="s">
        <v>26</v>
      </c>
      <c r="K303" s="2">
        <v>16224.96</v>
      </c>
      <c r="L303" s="2" t="s">
        <v>12</v>
      </c>
      <c r="M303">
        <f t="shared" si="4"/>
        <v>0.53048780487804881</v>
      </c>
    </row>
    <row r="304" spans="1:13" x14ac:dyDescent="0.35">
      <c r="A304" s="2">
        <v>1089</v>
      </c>
      <c r="B304" s="2">
        <v>303</v>
      </c>
      <c r="C304" s="2" t="s">
        <v>616</v>
      </c>
      <c r="D304" s="2">
        <v>63</v>
      </c>
      <c r="E304" s="2" t="str" cm="1">
        <f t="array" ref="E304">_xlfn.IFS(D304&gt;=60,"Senior",D304&gt;=23,"Adult",D304&gt;=18,"Teenager")</f>
        <v>Senior</v>
      </c>
      <c r="F304" s="2" t="s">
        <v>14</v>
      </c>
      <c r="G304" s="3">
        <v>45970</v>
      </c>
      <c r="H304" s="3">
        <v>45634</v>
      </c>
      <c r="I304" s="2" t="s">
        <v>617</v>
      </c>
      <c r="J304" s="2" t="s">
        <v>16</v>
      </c>
      <c r="K304" s="2">
        <v>426.51</v>
      </c>
      <c r="L304" s="2" t="s">
        <v>19</v>
      </c>
      <c r="M304">
        <f t="shared" si="4"/>
        <v>0.53374233128834359</v>
      </c>
    </row>
    <row r="305" spans="1:13" x14ac:dyDescent="0.35">
      <c r="A305" s="2">
        <v>1043</v>
      </c>
      <c r="B305" s="2">
        <v>304</v>
      </c>
      <c r="C305" s="2" t="s">
        <v>618</v>
      </c>
      <c r="D305" s="2">
        <v>82</v>
      </c>
      <c r="E305" s="2" t="str" cm="1">
        <f t="array" ref="E305">_xlfn.IFS(D305&gt;=60,"Senior",D305&gt;=23,"Adult",D305&gt;=18,"Teenager")</f>
        <v>Senior</v>
      </c>
      <c r="F305" s="2" t="s">
        <v>9</v>
      </c>
      <c r="G305" s="3">
        <v>45800</v>
      </c>
      <c r="H305" s="3">
        <v>45583</v>
      </c>
      <c r="I305" s="2" t="s">
        <v>619</v>
      </c>
      <c r="J305" s="2" t="s">
        <v>26</v>
      </c>
      <c r="K305" s="2">
        <v>20712.96</v>
      </c>
      <c r="L305" s="2" t="s">
        <v>12</v>
      </c>
      <c r="M305">
        <f t="shared" si="4"/>
        <v>0.53086419753086422</v>
      </c>
    </row>
    <row r="306" spans="1:13" x14ac:dyDescent="0.35">
      <c r="A306" s="2">
        <v>1021</v>
      </c>
      <c r="B306" s="2">
        <v>305</v>
      </c>
      <c r="C306" s="2" t="s">
        <v>620</v>
      </c>
      <c r="D306" s="2">
        <v>25</v>
      </c>
      <c r="E306" s="2" t="str" cm="1">
        <f t="array" ref="E306">_xlfn.IFS(D306&gt;=60,"Senior",D306&gt;=23,"Adult",D306&gt;=18,"Teenager")</f>
        <v>Adult</v>
      </c>
      <c r="F306" s="2" t="s">
        <v>9</v>
      </c>
      <c r="G306" s="3">
        <v>45931</v>
      </c>
      <c r="H306" s="3">
        <v>45300</v>
      </c>
      <c r="I306" s="2" t="s">
        <v>621</v>
      </c>
      <c r="J306" s="2" t="s">
        <v>26</v>
      </c>
      <c r="K306" s="2">
        <v>17674.560000000001</v>
      </c>
      <c r="L306" s="2" t="s">
        <v>19</v>
      </c>
      <c r="M306">
        <f t="shared" si="4"/>
        <v>0.53416149068322982</v>
      </c>
    </row>
    <row r="307" spans="1:13" x14ac:dyDescent="0.35">
      <c r="A307" s="2">
        <v>1086</v>
      </c>
      <c r="B307" s="2">
        <v>306</v>
      </c>
      <c r="C307" s="2" t="s">
        <v>622</v>
      </c>
      <c r="D307" s="2">
        <v>80</v>
      </c>
      <c r="E307" s="2" t="str" cm="1">
        <f t="array" ref="E307">_xlfn.IFS(D307&gt;=60,"Senior",D307&gt;=23,"Adult",D307&gt;=18,"Teenager")</f>
        <v>Senior</v>
      </c>
      <c r="F307" s="2" t="s">
        <v>9</v>
      </c>
      <c r="G307" s="3">
        <v>45985</v>
      </c>
      <c r="H307" s="3">
        <v>45655</v>
      </c>
      <c r="I307" s="2" t="s">
        <v>623</v>
      </c>
      <c r="J307" s="2" t="s">
        <v>26</v>
      </c>
      <c r="K307" s="2">
        <v>226.12</v>
      </c>
      <c r="L307" s="2" t="s">
        <v>19</v>
      </c>
      <c r="M307">
        <f t="shared" si="4"/>
        <v>0.53125</v>
      </c>
    </row>
    <row r="308" spans="1:13" x14ac:dyDescent="0.35">
      <c r="A308" s="2">
        <v>1016</v>
      </c>
      <c r="B308" s="2">
        <v>307</v>
      </c>
      <c r="C308" s="2" t="s">
        <v>624</v>
      </c>
      <c r="D308" s="2">
        <v>53</v>
      </c>
      <c r="E308" s="2" t="str" cm="1">
        <f t="array" ref="E308">_xlfn.IFS(D308&gt;=60,"Senior",D308&gt;=23,"Adult",D308&gt;=18,"Teenager")</f>
        <v>Adult</v>
      </c>
      <c r="F308" s="2" t="s">
        <v>9</v>
      </c>
      <c r="G308" s="3">
        <v>45806</v>
      </c>
      <c r="H308" s="3">
        <v>45710</v>
      </c>
      <c r="I308" s="2" t="s">
        <v>625</v>
      </c>
      <c r="J308" s="2" t="s">
        <v>33</v>
      </c>
      <c r="K308" s="2">
        <v>277.5</v>
      </c>
      <c r="L308" s="2" t="s">
        <v>19</v>
      </c>
      <c r="M308">
        <f t="shared" si="4"/>
        <v>0.52830188679245282</v>
      </c>
    </row>
    <row r="309" spans="1:13" x14ac:dyDescent="0.35">
      <c r="A309" s="2">
        <v>1050</v>
      </c>
      <c r="B309" s="2">
        <v>308</v>
      </c>
      <c r="C309" s="2" t="s">
        <v>626</v>
      </c>
      <c r="D309" s="2">
        <v>83</v>
      </c>
      <c r="E309" s="2" t="str" cm="1">
        <f t="array" ref="E309">_xlfn.IFS(D309&gt;=60,"Senior",D309&gt;=23,"Adult",D309&gt;=18,"Teenager")</f>
        <v>Senior</v>
      </c>
      <c r="F309" s="2" t="s">
        <v>14</v>
      </c>
      <c r="G309" s="3">
        <v>45911</v>
      </c>
      <c r="H309" s="3">
        <v>45538</v>
      </c>
      <c r="I309" s="2" t="s">
        <v>627</v>
      </c>
      <c r="J309" s="2" t="s">
        <v>16</v>
      </c>
      <c r="K309" s="2">
        <v>63.99</v>
      </c>
      <c r="L309" s="2" t="s">
        <v>12</v>
      </c>
      <c r="M309">
        <f t="shared" si="4"/>
        <v>0.52531645569620256</v>
      </c>
    </row>
    <row r="310" spans="1:13" x14ac:dyDescent="0.35">
      <c r="A310" s="2">
        <v>1079</v>
      </c>
      <c r="B310" s="2">
        <v>309</v>
      </c>
      <c r="C310" s="2" t="s">
        <v>628</v>
      </c>
      <c r="D310" s="2">
        <v>85</v>
      </c>
      <c r="E310" s="2" t="str" cm="1">
        <f t="array" ref="E310">_xlfn.IFS(D310&gt;=60,"Senior",D310&gt;=23,"Adult",D310&gt;=18,"Teenager")</f>
        <v>Senior</v>
      </c>
      <c r="F310" s="2" t="s">
        <v>9</v>
      </c>
      <c r="G310" s="3">
        <v>46101</v>
      </c>
      <c r="H310" s="3">
        <v>45938</v>
      </c>
      <c r="I310" s="2" t="s">
        <v>629</v>
      </c>
      <c r="J310" s="2" t="s">
        <v>33</v>
      </c>
      <c r="K310" s="2">
        <v>85.56</v>
      </c>
      <c r="L310" s="2" t="s">
        <v>12</v>
      </c>
      <c r="M310">
        <f t="shared" si="4"/>
        <v>0.5286624203821656</v>
      </c>
    </row>
    <row r="311" spans="1:13" x14ac:dyDescent="0.35">
      <c r="A311" s="2">
        <v>1027</v>
      </c>
      <c r="B311" s="2">
        <v>310</v>
      </c>
      <c r="C311" s="2" t="s">
        <v>630</v>
      </c>
      <c r="D311" s="2">
        <v>27</v>
      </c>
      <c r="E311" s="2" t="str" cm="1">
        <f t="array" ref="E311">_xlfn.IFS(D311&gt;=60,"Senior",D311&gt;=23,"Adult",D311&gt;=18,"Teenager")</f>
        <v>Adult</v>
      </c>
      <c r="F311" s="2" t="s">
        <v>9</v>
      </c>
      <c r="G311" s="3">
        <v>45842</v>
      </c>
      <c r="H311" s="3">
        <v>45733</v>
      </c>
      <c r="I311" s="2" t="s">
        <v>631</v>
      </c>
      <c r="J311" s="2" t="s">
        <v>33</v>
      </c>
      <c r="K311" s="2">
        <v>40470.720000000001</v>
      </c>
      <c r="L311" s="2" t="s">
        <v>19</v>
      </c>
      <c r="M311">
        <f t="shared" si="4"/>
        <v>0.53205128205128205</v>
      </c>
    </row>
    <row r="312" spans="1:13" x14ac:dyDescent="0.35">
      <c r="A312" s="2">
        <v>1053</v>
      </c>
      <c r="B312" s="2">
        <v>311</v>
      </c>
      <c r="C312" s="2" t="s">
        <v>632</v>
      </c>
      <c r="D312" s="2">
        <v>87</v>
      </c>
      <c r="E312" s="2" t="str" cm="1">
        <f t="array" ref="E312">_xlfn.IFS(D312&gt;=60,"Senior",D312&gt;=23,"Adult",D312&gt;=18,"Teenager")</f>
        <v>Senior</v>
      </c>
      <c r="F312" s="2" t="s">
        <v>14</v>
      </c>
      <c r="G312" s="3">
        <v>46060</v>
      </c>
      <c r="H312" s="3">
        <v>45484</v>
      </c>
      <c r="I312" s="2" t="s">
        <v>633</v>
      </c>
      <c r="J312" s="2" t="s">
        <v>33</v>
      </c>
      <c r="K312" s="2">
        <v>23975.040000000001</v>
      </c>
      <c r="L312" s="2" t="s">
        <v>19</v>
      </c>
      <c r="M312">
        <f t="shared" si="4"/>
        <v>0.52903225806451615</v>
      </c>
    </row>
    <row r="313" spans="1:13" x14ac:dyDescent="0.35">
      <c r="A313" s="2">
        <v>1051</v>
      </c>
      <c r="B313" s="2">
        <v>312</v>
      </c>
      <c r="C313" s="2" t="s">
        <v>634</v>
      </c>
      <c r="D313" s="2">
        <v>72</v>
      </c>
      <c r="E313" s="2" t="str" cm="1">
        <f t="array" ref="E313">_xlfn.IFS(D313&gt;=60,"Senior",D313&gt;=23,"Adult",D313&gt;=18,"Teenager")</f>
        <v>Senior</v>
      </c>
      <c r="F313" s="2" t="s">
        <v>9</v>
      </c>
      <c r="G313" s="3">
        <v>46086</v>
      </c>
      <c r="H313" s="3">
        <v>45742</v>
      </c>
      <c r="I313" s="2" t="s">
        <v>635</v>
      </c>
      <c r="J313" s="2" t="s">
        <v>11</v>
      </c>
      <c r="K313" s="2">
        <v>12149.76</v>
      </c>
      <c r="L313" s="2" t="s">
        <v>19</v>
      </c>
      <c r="M313">
        <f t="shared" si="4"/>
        <v>0.52597402597402598</v>
      </c>
    </row>
    <row r="314" spans="1:13" x14ac:dyDescent="0.35">
      <c r="A314" s="2">
        <v>1098</v>
      </c>
      <c r="B314" s="2">
        <v>313</v>
      </c>
      <c r="C314" s="2" t="s">
        <v>636</v>
      </c>
      <c r="D314" s="2">
        <v>59</v>
      </c>
      <c r="E314" s="2" t="str" cm="1">
        <f t="array" ref="E314">_xlfn.IFS(D314&gt;=60,"Senior",D314&gt;=23,"Adult",D314&gt;=18,"Teenager")</f>
        <v>Adult</v>
      </c>
      <c r="F314" s="2" t="s">
        <v>14</v>
      </c>
      <c r="G314" s="3">
        <v>45940</v>
      </c>
      <c r="H314" s="3">
        <v>45522</v>
      </c>
      <c r="I314" s="2" t="s">
        <v>637</v>
      </c>
      <c r="J314" s="2" t="s">
        <v>11</v>
      </c>
      <c r="K314" s="2">
        <v>13758.72</v>
      </c>
      <c r="L314" s="2" t="s">
        <v>12</v>
      </c>
      <c r="M314">
        <f t="shared" si="4"/>
        <v>0.52287581699346408</v>
      </c>
    </row>
    <row r="315" spans="1:13" x14ac:dyDescent="0.35">
      <c r="A315" s="2">
        <v>1044</v>
      </c>
      <c r="B315" s="2">
        <v>314</v>
      </c>
      <c r="C315" s="2" t="s">
        <v>638</v>
      </c>
      <c r="D315" s="2">
        <v>67</v>
      </c>
      <c r="E315" s="2" t="str" cm="1">
        <f t="array" ref="E315">_xlfn.IFS(D315&gt;=60,"Senior",D315&gt;=23,"Adult",D315&gt;=18,"Teenager")</f>
        <v>Senior</v>
      </c>
      <c r="F315" s="2" t="s">
        <v>14</v>
      </c>
      <c r="G315" s="3">
        <v>45995</v>
      </c>
      <c r="H315" s="3">
        <v>45486</v>
      </c>
      <c r="I315" s="2" t="s">
        <v>639</v>
      </c>
      <c r="J315" s="2" t="s">
        <v>16</v>
      </c>
      <c r="K315" s="2">
        <v>277.51</v>
      </c>
      <c r="L315" s="2" t="s">
        <v>12</v>
      </c>
      <c r="M315">
        <f t="shared" si="4"/>
        <v>0.52631578947368418</v>
      </c>
    </row>
    <row r="316" spans="1:13" x14ac:dyDescent="0.35">
      <c r="A316" s="2">
        <v>1035</v>
      </c>
      <c r="B316" s="2">
        <v>315</v>
      </c>
      <c r="C316" s="2" t="s">
        <v>640</v>
      </c>
      <c r="D316" s="2">
        <v>53</v>
      </c>
      <c r="E316" s="2" t="str" cm="1">
        <f t="array" ref="E316">_xlfn.IFS(D316&gt;=60,"Senior",D316&gt;=23,"Adult",D316&gt;=18,"Teenager")</f>
        <v>Adult</v>
      </c>
      <c r="F316" s="2" t="s">
        <v>14</v>
      </c>
      <c r="G316" s="3">
        <v>46048</v>
      </c>
      <c r="H316" s="3">
        <v>45562</v>
      </c>
      <c r="I316" s="2" t="s">
        <v>641</v>
      </c>
      <c r="J316" s="2" t="s">
        <v>16</v>
      </c>
      <c r="K316" s="2">
        <v>374.03</v>
      </c>
      <c r="L316" s="2" t="s">
        <v>19</v>
      </c>
      <c r="M316">
        <f t="shared" si="4"/>
        <v>0.5298013245033113</v>
      </c>
    </row>
    <row r="317" spans="1:13" x14ac:dyDescent="0.35">
      <c r="A317" s="2">
        <v>1005</v>
      </c>
      <c r="B317" s="2">
        <v>316</v>
      </c>
      <c r="C317" s="2" t="s">
        <v>642</v>
      </c>
      <c r="D317" s="2">
        <v>23</v>
      </c>
      <c r="E317" s="2" t="str" cm="1">
        <f t="array" ref="E317">_xlfn.IFS(D317&gt;=60,"Senior",D317&gt;=23,"Adult",D317&gt;=18,"Teenager")</f>
        <v>Adult</v>
      </c>
      <c r="F317" s="2" t="s">
        <v>9</v>
      </c>
      <c r="G317" s="3">
        <v>46015</v>
      </c>
      <c r="H317" s="3">
        <v>45662</v>
      </c>
      <c r="I317" s="2" t="s">
        <v>643</v>
      </c>
      <c r="J317" s="2" t="s">
        <v>33</v>
      </c>
      <c r="K317" s="2">
        <v>25504.32</v>
      </c>
      <c r="L317" s="2" t="s">
        <v>12</v>
      </c>
      <c r="M317">
        <f t="shared" si="4"/>
        <v>0.52666666666666662</v>
      </c>
    </row>
    <row r="318" spans="1:13" x14ac:dyDescent="0.35">
      <c r="A318" s="2">
        <v>1094</v>
      </c>
      <c r="B318" s="2">
        <v>317</v>
      </c>
      <c r="C318" s="2" t="s">
        <v>644</v>
      </c>
      <c r="D318" s="2">
        <v>59</v>
      </c>
      <c r="E318" s="2" t="str" cm="1">
        <f t="array" ref="E318">_xlfn.IFS(D318&gt;=60,"Senior",D318&gt;=23,"Adult",D318&gt;=18,"Teenager")</f>
        <v>Adult</v>
      </c>
      <c r="F318" s="2" t="s">
        <v>9</v>
      </c>
      <c r="G318" s="3">
        <v>45816</v>
      </c>
      <c r="H318" s="3">
        <v>45652</v>
      </c>
      <c r="I318" s="2" t="s">
        <v>645</v>
      </c>
      <c r="J318" s="2" t="s">
        <v>33</v>
      </c>
      <c r="K318" s="2">
        <v>36733.440000000002</v>
      </c>
      <c r="L318" s="2" t="s">
        <v>19</v>
      </c>
      <c r="M318">
        <f t="shared" si="4"/>
        <v>0.53020134228187921</v>
      </c>
    </row>
    <row r="319" spans="1:13" x14ac:dyDescent="0.35">
      <c r="A319" s="2">
        <v>1065</v>
      </c>
      <c r="B319" s="2">
        <v>318</v>
      </c>
      <c r="C319" s="2" t="s">
        <v>646</v>
      </c>
      <c r="D319" s="2">
        <v>80</v>
      </c>
      <c r="E319" s="2" t="str" cm="1">
        <f t="array" ref="E319">_xlfn.IFS(D319&gt;=60,"Senior",D319&gt;=23,"Adult",D319&gt;=18,"Teenager")</f>
        <v>Senior</v>
      </c>
      <c r="F319" s="2" t="s">
        <v>9</v>
      </c>
      <c r="G319" s="3">
        <v>45966</v>
      </c>
      <c r="H319" s="3">
        <v>45587</v>
      </c>
      <c r="I319" s="2" t="s">
        <v>647</v>
      </c>
      <c r="J319" s="2" t="s">
        <v>26</v>
      </c>
      <c r="K319" s="2">
        <v>125.35</v>
      </c>
      <c r="L319" s="2" t="s">
        <v>12</v>
      </c>
      <c r="M319">
        <f t="shared" si="4"/>
        <v>0.52702702702702697</v>
      </c>
    </row>
    <row r="320" spans="1:13" x14ac:dyDescent="0.35">
      <c r="A320" s="2">
        <v>1054</v>
      </c>
      <c r="B320" s="2">
        <v>319</v>
      </c>
      <c r="C320" s="2" t="s">
        <v>648</v>
      </c>
      <c r="D320" s="2">
        <v>66</v>
      </c>
      <c r="E320" s="2" t="str" cm="1">
        <f t="array" ref="E320">_xlfn.IFS(D320&gt;=60,"Senior",D320&gt;=23,"Adult",D320&gt;=18,"Teenager")</f>
        <v>Senior</v>
      </c>
      <c r="F320" s="2" t="s">
        <v>14</v>
      </c>
      <c r="G320" s="3">
        <v>45755</v>
      </c>
      <c r="H320" s="3">
        <v>45659</v>
      </c>
      <c r="I320" s="2" t="s">
        <v>649</v>
      </c>
      <c r="J320" s="2" t="s">
        <v>33</v>
      </c>
      <c r="K320" s="2">
        <v>290.47000000000003</v>
      </c>
      <c r="L320" s="2" t="s">
        <v>19</v>
      </c>
      <c r="M320">
        <f t="shared" si="4"/>
        <v>0.53061224489795922</v>
      </c>
    </row>
    <row r="321" spans="1:13" x14ac:dyDescent="0.35">
      <c r="A321" s="2">
        <v>1087</v>
      </c>
      <c r="B321" s="2">
        <v>320</v>
      </c>
      <c r="C321" s="2" t="s">
        <v>650</v>
      </c>
      <c r="D321" s="2">
        <v>78</v>
      </c>
      <c r="E321" s="2" t="str" cm="1">
        <f t="array" ref="E321">_xlfn.IFS(D321&gt;=60,"Senior",D321&gt;=23,"Adult",D321&gt;=18,"Teenager")</f>
        <v>Senior</v>
      </c>
      <c r="F321" s="2" t="s">
        <v>14</v>
      </c>
      <c r="G321" s="3">
        <v>46044</v>
      </c>
      <c r="H321" s="3">
        <v>45844</v>
      </c>
      <c r="I321" s="2" t="s">
        <v>651</v>
      </c>
      <c r="J321" s="2" t="s">
        <v>11</v>
      </c>
      <c r="K321" s="2">
        <v>11834.88</v>
      </c>
      <c r="L321" s="2" t="s">
        <v>12</v>
      </c>
      <c r="M321">
        <f t="shared" si="4"/>
        <v>0.5273972602739726</v>
      </c>
    </row>
    <row r="322" spans="1:13" x14ac:dyDescent="0.35">
      <c r="A322" s="2">
        <v>1012</v>
      </c>
      <c r="B322" s="2">
        <v>321</v>
      </c>
      <c r="C322" s="2" t="s">
        <v>652</v>
      </c>
      <c r="D322" s="2">
        <v>45</v>
      </c>
      <c r="E322" s="2" t="str" cm="1">
        <f t="array" ref="E322">_xlfn.IFS(D322&gt;=60,"Senior",D322&gt;=23,"Adult",D322&gt;=18,"Teenager")</f>
        <v>Adult</v>
      </c>
      <c r="F322" s="2" t="s">
        <v>9</v>
      </c>
      <c r="G322" s="3">
        <v>45863</v>
      </c>
      <c r="H322" s="3">
        <v>45535</v>
      </c>
      <c r="I322" s="2" t="s">
        <v>653</v>
      </c>
      <c r="J322" s="2" t="s">
        <v>33</v>
      </c>
      <c r="K322" s="2">
        <v>33896.639999999999</v>
      </c>
      <c r="L322" s="2" t="s">
        <v>12</v>
      </c>
      <c r="M322">
        <f t="shared" si="4"/>
        <v>0.53103448275862064</v>
      </c>
    </row>
    <row r="323" spans="1:13" x14ac:dyDescent="0.35">
      <c r="A323" s="2">
        <v>1085</v>
      </c>
      <c r="B323" s="2">
        <v>322</v>
      </c>
      <c r="C323" s="2" t="s">
        <v>654</v>
      </c>
      <c r="D323" s="2">
        <v>30</v>
      </c>
      <c r="E323" s="2" t="str" cm="1">
        <f t="array" ref="E323">_xlfn.IFS(D323&gt;=60,"Senior",D323&gt;=23,"Adult",D323&gt;=18,"Teenager")</f>
        <v>Adult</v>
      </c>
      <c r="F323" s="2" t="s">
        <v>14</v>
      </c>
      <c r="G323" s="3">
        <v>46014</v>
      </c>
      <c r="H323" s="3">
        <v>45455</v>
      </c>
      <c r="I323" s="2" t="s">
        <v>655</v>
      </c>
      <c r="J323" s="2" t="s">
        <v>16</v>
      </c>
      <c r="K323" s="2">
        <v>299.12</v>
      </c>
      <c r="L323" s="2" t="s">
        <v>19</v>
      </c>
      <c r="M323">
        <f t="shared" ref="M323:M386" si="5">COUNTIF(L323:L787,"Yes")/COUNTA(L323:L787)</f>
        <v>0.53472222222222221</v>
      </c>
    </row>
    <row r="324" spans="1:13" x14ac:dyDescent="0.35">
      <c r="A324" s="2">
        <v>1031</v>
      </c>
      <c r="B324" s="2">
        <v>323</v>
      </c>
      <c r="C324" s="2" t="s">
        <v>656</v>
      </c>
      <c r="D324" s="2">
        <v>57</v>
      </c>
      <c r="E324" s="2" t="str" cm="1">
        <f t="array" ref="E324">_xlfn.IFS(D324&gt;=60,"Senior",D324&gt;=23,"Adult",D324&gt;=18,"Teenager")</f>
        <v>Adult</v>
      </c>
      <c r="F324" s="2" t="s">
        <v>9</v>
      </c>
      <c r="G324" s="3">
        <v>45808</v>
      </c>
      <c r="H324" s="3">
        <v>45702</v>
      </c>
      <c r="I324" s="2" t="s">
        <v>657</v>
      </c>
      <c r="J324" s="2" t="s">
        <v>33</v>
      </c>
      <c r="K324" s="2">
        <v>32746.560000000001</v>
      </c>
      <c r="L324" s="2" t="s">
        <v>12</v>
      </c>
      <c r="M324">
        <f t="shared" si="5"/>
        <v>0.53146853146853146</v>
      </c>
    </row>
    <row r="325" spans="1:13" x14ac:dyDescent="0.35">
      <c r="A325" s="2">
        <v>1021</v>
      </c>
      <c r="B325" s="2">
        <v>324</v>
      </c>
      <c r="C325" s="2" t="s">
        <v>658</v>
      </c>
      <c r="D325" s="2">
        <v>63</v>
      </c>
      <c r="E325" s="2" t="str" cm="1">
        <f t="array" ref="E325">_xlfn.IFS(D325&gt;=60,"Senior",D325&gt;=23,"Adult",D325&gt;=18,"Teenager")</f>
        <v>Senior</v>
      </c>
      <c r="F325" s="2" t="s">
        <v>14</v>
      </c>
      <c r="G325" s="3">
        <v>45843</v>
      </c>
      <c r="H325" s="3">
        <v>45829</v>
      </c>
      <c r="I325" s="2" t="s">
        <v>659</v>
      </c>
      <c r="J325" s="2" t="s">
        <v>16</v>
      </c>
      <c r="K325" s="2">
        <v>44409.599999999999</v>
      </c>
      <c r="L325" s="2" t="s">
        <v>19</v>
      </c>
      <c r="M325">
        <f t="shared" si="5"/>
        <v>0.53521126760563376</v>
      </c>
    </row>
    <row r="326" spans="1:13" x14ac:dyDescent="0.35">
      <c r="A326" s="2">
        <v>1015</v>
      </c>
      <c r="B326" s="2">
        <v>325</v>
      </c>
      <c r="C326" s="2" t="s">
        <v>660</v>
      </c>
      <c r="D326" s="2">
        <v>84</v>
      </c>
      <c r="E326" s="2" t="str" cm="1">
        <f t="array" ref="E326">_xlfn.IFS(D326&gt;=60,"Senior",D326&gt;=23,"Adult",D326&gt;=18,"Teenager")</f>
        <v>Senior</v>
      </c>
      <c r="F326" s="2" t="s">
        <v>9</v>
      </c>
      <c r="G326" s="3">
        <v>46106</v>
      </c>
      <c r="H326" s="3">
        <v>45900</v>
      </c>
      <c r="I326" s="2" t="s">
        <v>661</v>
      </c>
      <c r="J326" s="2" t="s">
        <v>26</v>
      </c>
      <c r="K326" s="2">
        <v>353.35</v>
      </c>
      <c r="L326" s="2" t="s">
        <v>19</v>
      </c>
      <c r="M326">
        <f t="shared" si="5"/>
        <v>0.53191489361702127</v>
      </c>
    </row>
    <row r="327" spans="1:13" x14ac:dyDescent="0.35">
      <c r="A327" s="2">
        <v>1008</v>
      </c>
      <c r="B327" s="2">
        <v>326</v>
      </c>
      <c r="C327" s="2" t="s">
        <v>662</v>
      </c>
      <c r="D327" s="2">
        <v>40</v>
      </c>
      <c r="E327" s="2" t="str" cm="1">
        <f t="array" ref="E327">_xlfn.IFS(D327&gt;=60,"Senior",D327&gt;=23,"Adult",D327&gt;=18,"Teenager")</f>
        <v>Adult</v>
      </c>
      <c r="F327" s="2" t="s">
        <v>9</v>
      </c>
      <c r="G327" s="3">
        <v>45960</v>
      </c>
      <c r="H327" s="3">
        <v>45504</v>
      </c>
      <c r="I327" s="2" t="s">
        <v>663</v>
      </c>
      <c r="J327" s="2" t="s">
        <v>33</v>
      </c>
      <c r="K327" s="2">
        <v>449.41</v>
      </c>
      <c r="L327" s="2" t="s">
        <v>12</v>
      </c>
      <c r="M327">
        <f t="shared" si="5"/>
        <v>0.52857142857142858</v>
      </c>
    </row>
    <row r="328" spans="1:13" x14ac:dyDescent="0.35">
      <c r="A328" s="2">
        <v>1080</v>
      </c>
      <c r="B328" s="2">
        <v>327</v>
      </c>
      <c r="C328" s="2" t="s">
        <v>664</v>
      </c>
      <c r="D328" s="2">
        <v>78</v>
      </c>
      <c r="E328" s="2" t="str" cm="1">
        <f t="array" ref="E328">_xlfn.IFS(D328&gt;=60,"Senior",D328&gt;=23,"Adult",D328&gt;=18,"Teenager")</f>
        <v>Senior</v>
      </c>
      <c r="F328" s="2" t="s">
        <v>14</v>
      </c>
      <c r="G328" s="3">
        <v>46055</v>
      </c>
      <c r="H328" s="3">
        <v>45975</v>
      </c>
      <c r="I328" s="2" t="s">
        <v>665</v>
      </c>
      <c r="J328" s="2" t="s">
        <v>26</v>
      </c>
      <c r="K328" s="2">
        <v>17190.72</v>
      </c>
      <c r="L328" s="2" t="s">
        <v>12</v>
      </c>
      <c r="M328">
        <f t="shared" si="5"/>
        <v>0.53237410071942448</v>
      </c>
    </row>
    <row r="329" spans="1:13" x14ac:dyDescent="0.35">
      <c r="A329" s="2">
        <v>1067</v>
      </c>
      <c r="B329" s="2">
        <v>328</v>
      </c>
      <c r="C329" s="2" t="s">
        <v>666</v>
      </c>
      <c r="D329" s="2">
        <v>28</v>
      </c>
      <c r="E329" s="2" t="str" cm="1">
        <f t="array" ref="E329">_xlfn.IFS(D329&gt;=60,"Senior",D329&gt;=23,"Adult",D329&gt;=18,"Teenager")</f>
        <v>Adult</v>
      </c>
      <c r="F329" s="2" t="s">
        <v>14</v>
      </c>
      <c r="G329" s="3">
        <v>46029</v>
      </c>
      <c r="H329" s="3">
        <v>45892</v>
      </c>
      <c r="I329" s="2" t="s">
        <v>667</v>
      </c>
      <c r="J329" s="2" t="s">
        <v>26</v>
      </c>
      <c r="K329" s="2">
        <v>344.67</v>
      </c>
      <c r="L329" s="2" t="s">
        <v>19</v>
      </c>
      <c r="M329">
        <f t="shared" si="5"/>
        <v>0.53623188405797106</v>
      </c>
    </row>
    <row r="330" spans="1:13" x14ac:dyDescent="0.35">
      <c r="A330" s="2">
        <v>1043</v>
      </c>
      <c r="B330" s="2">
        <v>329</v>
      </c>
      <c r="C330" s="2" t="s">
        <v>668</v>
      </c>
      <c r="D330" s="2">
        <v>80</v>
      </c>
      <c r="E330" s="2" t="str" cm="1">
        <f t="array" ref="E330">_xlfn.IFS(D330&gt;=60,"Senior",D330&gt;=23,"Adult",D330&gt;=18,"Teenager")</f>
        <v>Senior</v>
      </c>
      <c r="F330" s="2" t="s">
        <v>9</v>
      </c>
      <c r="G330" s="3">
        <v>45928</v>
      </c>
      <c r="H330" s="3">
        <v>45534</v>
      </c>
      <c r="I330" s="2" t="s">
        <v>669</v>
      </c>
      <c r="J330" s="2" t="s">
        <v>16</v>
      </c>
      <c r="K330" s="2">
        <v>8133.12</v>
      </c>
      <c r="L330" s="2" t="s">
        <v>19</v>
      </c>
      <c r="M330">
        <f t="shared" si="5"/>
        <v>0.53284671532846717</v>
      </c>
    </row>
    <row r="331" spans="1:13" x14ac:dyDescent="0.35">
      <c r="A331" s="2">
        <v>1066</v>
      </c>
      <c r="B331" s="2">
        <v>330</v>
      </c>
      <c r="C331" s="2" t="s">
        <v>670</v>
      </c>
      <c r="D331" s="2">
        <v>65</v>
      </c>
      <c r="E331" s="2" t="str" cm="1">
        <f t="array" ref="E331">_xlfn.IFS(D331&gt;=60,"Senior",D331&gt;=23,"Adult",D331&gt;=18,"Teenager")</f>
        <v>Senior</v>
      </c>
      <c r="F331" s="2" t="s">
        <v>14</v>
      </c>
      <c r="G331" s="3">
        <v>45938</v>
      </c>
      <c r="H331" s="3">
        <v>45663</v>
      </c>
      <c r="I331" s="2" t="s">
        <v>671</v>
      </c>
      <c r="J331" s="2" t="s">
        <v>33</v>
      </c>
      <c r="K331" s="2">
        <v>113.2</v>
      </c>
      <c r="L331" s="2" t="s">
        <v>19</v>
      </c>
      <c r="M331">
        <f t="shared" si="5"/>
        <v>0.52941176470588236</v>
      </c>
    </row>
    <row r="332" spans="1:13" x14ac:dyDescent="0.35">
      <c r="A332" s="2">
        <v>1013</v>
      </c>
      <c r="B332" s="2">
        <v>331</v>
      </c>
      <c r="C332" s="2" t="s">
        <v>672</v>
      </c>
      <c r="D332" s="2">
        <v>69</v>
      </c>
      <c r="E332" s="2" t="str" cm="1">
        <f t="array" ref="E332">_xlfn.IFS(D332&gt;=60,"Senior",D332&gt;=23,"Adult",D332&gt;=18,"Teenager")</f>
        <v>Senior</v>
      </c>
      <c r="F332" s="2" t="s">
        <v>14</v>
      </c>
      <c r="G332" s="3">
        <v>46043</v>
      </c>
      <c r="H332" s="3">
        <v>45297</v>
      </c>
      <c r="I332" s="2" t="s">
        <v>673</v>
      </c>
      <c r="J332" s="2" t="s">
        <v>11</v>
      </c>
      <c r="K332" s="2">
        <v>289.74</v>
      </c>
      <c r="L332" s="2" t="s">
        <v>19</v>
      </c>
      <c r="M332">
        <f t="shared" si="5"/>
        <v>0.52592592592592591</v>
      </c>
    </row>
    <row r="333" spans="1:13" x14ac:dyDescent="0.35">
      <c r="A333" s="2">
        <v>1024</v>
      </c>
      <c r="B333" s="2">
        <v>332</v>
      </c>
      <c r="C333" s="2" t="s">
        <v>674</v>
      </c>
      <c r="D333" s="2">
        <v>35</v>
      </c>
      <c r="E333" s="2" t="str" cm="1">
        <f t="array" ref="E333">_xlfn.IFS(D333&gt;=60,"Senior",D333&gt;=23,"Adult",D333&gt;=18,"Teenager")</f>
        <v>Adult</v>
      </c>
      <c r="F333" s="2" t="s">
        <v>14</v>
      </c>
      <c r="G333" s="3">
        <v>45886</v>
      </c>
      <c r="H333" s="3">
        <v>45816</v>
      </c>
      <c r="I333" s="2" t="s">
        <v>675</v>
      </c>
      <c r="J333" s="2" t="s">
        <v>16</v>
      </c>
      <c r="K333" s="2">
        <v>25934.400000000001</v>
      </c>
      <c r="L333" s="2" t="s">
        <v>19</v>
      </c>
      <c r="M333">
        <f t="shared" si="5"/>
        <v>0.52238805970149249</v>
      </c>
    </row>
    <row r="334" spans="1:13" x14ac:dyDescent="0.35">
      <c r="A334" s="2">
        <v>1095</v>
      </c>
      <c r="B334" s="2">
        <v>333</v>
      </c>
      <c r="C334" s="2" t="s">
        <v>676</v>
      </c>
      <c r="D334" s="2">
        <v>56</v>
      </c>
      <c r="E334" s="2" t="str" cm="1">
        <f t="array" ref="E334">_xlfn.IFS(D334&gt;=60,"Senior",D334&gt;=23,"Adult",D334&gt;=18,"Teenager")</f>
        <v>Adult</v>
      </c>
      <c r="F334" s="2" t="s">
        <v>14</v>
      </c>
      <c r="G334" s="3">
        <v>45812</v>
      </c>
      <c r="H334" s="3">
        <v>45441</v>
      </c>
      <c r="I334" s="2" t="s">
        <v>677</v>
      </c>
      <c r="J334" s="2" t="s">
        <v>26</v>
      </c>
      <c r="K334" s="2">
        <v>335.27</v>
      </c>
      <c r="L334" s="2" t="s">
        <v>19</v>
      </c>
      <c r="M334">
        <f t="shared" si="5"/>
        <v>0.51879699248120303</v>
      </c>
    </row>
    <row r="335" spans="1:13" x14ac:dyDescent="0.35">
      <c r="A335" s="2">
        <v>1048</v>
      </c>
      <c r="B335" s="2">
        <v>334</v>
      </c>
      <c r="C335" s="2" t="s">
        <v>678</v>
      </c>
      <c r="D335" s="2">
        <v>67</v>
      </c>
      <c r="E335" s="2" t="str" cm="1">
        <f t="array" ref="E335">_xlfn.IFS(D335&gt;=60,"Senior",D335&gt;=23,"Adult",D335&gt;=18,"Teenager")</f>
        <v>Senior</v>
      </c>
      <c r="F335" s="2" t="s">
        <v>14</v>
      </c>
      <c r="G335" s="3">
        <v>45988</v>
      </c>
      <c r="H335" s="3">
        <v>45503</v>
      </c>
      <c r="I335" s="2" t="s">
        <v>679</v>
      </c>
      <c r="J335" s="2" t="s">
        <v>16</v>
      </c>
      <c r="K335" s="2">
        <v>285.22000000000003</v>
      </c>
      <c r="L335" s="2" t="s">
        <v>12</v>
      </c>
      <c r="M335">
        <f t="shared" si="5"/>
        <v>0.51515151515151514</v>
      </c>
    </row>
    <row r="336" spans="1:13" x14ac:dyDescent="0.35">
      <c r="A336" s="2">
        <v>1033</v>
      </c>
      <c r="B336" s="2">
        <v>335</v>
      </c>
      <c r="C336" s="2" t="s">
        <v>680</v>
      </c>
      <c r="D336" s="2">
        <v>64</v>
      </c>
      <c r="E336" s="2" t="str" cm="1">
        <f t="array" ref="E336">_xlfn.IFS(D336&gt;=60,"Senior",D336&gt;=23,"Adult",D336&gt;=18,"Teenager")</f>
        <v>Senior</v>
      </c>
      <c r="F336" s="2" t="s">
        <v>9</v>
      </c>
      <c r="G336" s="3">
        <v>45916</v>
      </c>
      <c r="H336" s="3">
        <v>45680</v>
      </c>
      <c r="I336" s="2" t="s">
        <v>681</v>
      </c>
      <c r="J336" s="2" t="s">
        <v>11</v>
      </c>
      <c r="K336" s="2">
        <v>91.36</v>
      </c>
      <c r="L336" s="2" t="s">
        <v>19</v>
      </c>
      <c r="M336">
        <f t="shared" si="5"/>
        <v>0.51908396946564883</v>
      </c>
    </row>
    <row r="337" spans="1:13" x14ac:dyDescent="0.35">
      <c r="A337" s="2">
        <v>1085</v>
      </c>
      <c r="B337" s="2">
        <v>336</v>
      </c>
      <c r="C337" s="2" t="s">
        <v>682</v>
      </c>
      <c r="D337" s="2">
        <v>22</v>
      </c>
      <c r="E337" s="2" t="str" cm="1">
        <f t="array" ref="E337">_xlfn.IFS(D337&gt;=60,"Senior",D337&gt;=23,"Adult",D337&gt;=18,"Teenager")</f>
        <v>Teenager</v>
      </c>
      <c r="F337" s="2" t="s">
        <v>9</v>
      </c>
      <c r="G337" s="3">
        <v>45932</v>
      </c>
      <c r="H337" s="3">
        <v>45754</v>
      </c>
      <c r="I337" s="2" t="s">
        <v>683</v>
      </c>
      <c r="J337" s="2" t="s">
        <v>11</v>
      </c>
      <c r="K337" s="2">
        <v>498.58</v>
      </c>
      <c r="L337" s="2" t="s">
        <v>12</v>
      </c>
      <c r="M337">
        <f t="shared" si="5"/>
        <v>0.51538461538461533</v>
      </c>
    </row>
    <row r="338" spans="1:13" x14ac:dyDescent="0.35">
      <c r="A338" s="2">
        <v>1083</v>
      </c>
      <c r="B338" s="2">
        <v>337</v>
      </c>
      <c r="C338" s="2" t="s">
        <v>684</v>
      </c>
      <c r="D338" s="2">
        <v>40</v>
      </c>
      <c r="E338" s="2" t="str" cm="1">
        <f t="array" ref="E338">_xlfn.IFS(D338&gt;=60,"Senior",D338&gt;=23,"Adult",D338&gt;=18,"Teenager")</f>
        <v>Adult</v>
      </c>
      <c r="F338" s="2" t="s">
        <v>9</v>
      </c>
      <c r="G338" s="3">
        <v>45788</v>
      </c>
      <c r="H338" s="3">
        <v>45519</v>
      </c>
      <c r="I338" s="2" t="s">
        <v>685</v>
      </c>
      <c r="J338" s="2" t="s">
        <v>33</v>
      </c>
      <c r="K338" s="2">
        <v>312.26</v>
      </c>
      <c r="L338" s="2" t="s">
        <v>12</v>
      </c>
      <c r="M338">
        <f t="shared" si="5"/>
        <v>0.51937984496124034</v>
      </c>
    </row>
    <row r="339" spans="1:13" x14ac:dyDescent="0.35">
      <c r="A339" s="2">
        <v>1059</v>
      </c>
      <c r="B339" s="2">
        <v>338</v>
      </c>
      <c r="C339" s="2" t="s">
        <v>686</v>
      </c>
      <c r="D339" s="2">
        <v>81</v>
      </c>
      <c r="E339" s="2" t="str" cm="1">
        <f t="array" ref="E339">_xlfn.IFS(D339&gt;=60,"Senior",D339&gt;=23,"Adult",D339&gt;=18,"Teenager")</f>
        <v>Senior</v>
      </c>
      <c r="F339" s="2" t="s">
        <v>9</v>
      </c>
      <c r="G339" s="3">
        <v>45744</v>
      </c>
      <c r="H339" s="3">
        <v>45704</v>
      </c>
      <c r="I339" s="2" t="s">
        <v>687</v>
      </c>
      <c r="J339" s="2" t="s">
        <v>26</v>
      </c>
      <c r="K339" s="2">
        <v>475.35</v>
      </c>
      <c r="L339" s="2" t="s">
        <v>12</v>
      </c>
      <c r="M339">
        <f t="shared" si="5"/>
        <v>0.5234375</v>
      </c>
    </row>
    <row r="340" spans="1:13" x14ac:dyDescent="0.35">
      <c r="A340" s="2">
        <v>1044</v>
      </c>
      <c r="B340" s="2">
        <v>339</v>
      </c>
      <c r="C340" s="2" t="s">
        <v>688</v>
      </c>
      <c r="D340" s="2">
        <v>21</v>
      </c>
      <c r="E340" s="2" t="str" cm="1">
        <f t="array" ref="E340">_xlfn.IFS(D340&gt;=60,"Senior",D340&gt;=23,"Adult",D340&gt;=18,"Teenager")</f>
        <v>Teenager</v>
      </c>
      <c r="F340" s="2" t="s">
        <v>14</v>
      </c>
      <c r="G340" s="3">
        <v>45765</v>
      </c>
      <c r="H340" s="3">
        <v>45559</v>
      </c>
      <c r="I340" s="2" t="s">
        <v>689</v>
      </c>
      <c r="J340" s="2" t="s">
        <v>11</v>
      </c>
      <c r="K340" s="2">
        <v>14985.6</v>
      </c>
      <c r="L340" s="2" t="s">
        <v>19</v>
      </c>
      <c r="M340">
        <f t="shared" si="5"/>
        <v>0.52755905511811019</v>
      </c>
    </row>
    <row r="341" spans="1:13" x14ac:dyDescent="0.35">
      <c r="A341" s="2">
        <v>1024</v>
      </c>
      <c r="B341" s="2">
        <v>340</v>
      </c>
      <c r="C341" s="2" t="s">
        <v>690</v>
      </c>
      <c r="D341" s="2">
        <v>60</v>
      </c>
      <c r="E341" s="2" t="str" cm="1">
        <f t="array" ref="E341">_xlfn.IFS(D341&gt;=60,"Senior",D341&gt;=23,"Adult",D341&gt;=18,"Teenager")</f>
        <v>Senior</v>
      </c>
      <c r="F341" s="2" t="s">
        <v>9</v>
      </c>
      <c r="G341" s="3">
        <v>45858</v>
      </c>
      <c r="H341" s="3">
        <v>45617</v>
      </c>
      <c r="I341" s="2" t="s">
        <v>691</v>
      </c>
      <c r="J341" s="2" t="s">
        <v>26</v>
      </c>
      <c r="K341" s="2">
        <v>340.54</v>
      </c>
      <c r="L341" s="2" t="s">
        <v>12</v>
      </c>
      <c r="M341">
        <f t="shared" si="5"/>
        <v>0.52380952380952384</v>
      </c>
    </row>
    <row r="342" spans="1:13" x14ac:dyDescent="0.35">
      <c r="A342" s="2">
        <v>1010</v>
      </c>
      <c r="B342" s="2">
        <v>341</v>
      </c>
      <c r="C342" s="2" t="s">
        <v>692</v>
      </c>
      <c r="D342" s="2">
        <v>72</v>
      </c>
      <c r="E342" s="2" t="str" cm="1">
        <f t="array" ref="E342">_xlfn.IFS(D342&gt;=60,"Senior",D342&gt;=23,"Adult",D342&gt;=18,"Teenager")</f>
        <v>Senior</v>
      </c>
      <c r="F342" s="2" t="s">
        <v>9</v>
      </c>
      <c r="G342" s="3">
        <v>46069</v>
      </c>
      <c r="H342" s="3">
        <v>45480</v>
      </c>
      <c r="I342" s="2" t="s">
        <v>693</v>
      </c>
      <c r="J342" s="2" t="s">
        <v>11</v>
      </c>
      <c r="K342" s="2">
        <v>22637.759999999998</v>
      </c>
      <c r="L342" s="2" t="s">
        <v>12</v>
      </c>
      <c r="M342">
        <f t="shared" si="5"/>
        <v>0.52800000000000002</v>
      </c>
    </row>
    <row r="343" spans="1:13" x14ac:dyDescent="0.35">
      <c r="A343" s="2">
        <v>1047</v>
      </c>
      <c r="B343" s="2">
        <v>342</v>
      </c>
      <c r="C343" s="2" t="s">
        <v>694</v>
      </c>
      <c r="D343" s="2">
        <v>33</v>
      </c>
      <c r="E343" s="2" t="str" cm="1">
        <f t="array" ref="E343">_xlfn.IFS(D343&gt;=60,"Senior",D343&gt;=23,"Adult",D343&gt;=18,"Teenager")</f>
        <v>Adult</v>
      </c>
      <c r="F343" s="2" t="s">
        <v>14</v>
      </c>
      <c r="G343" s="3">
        <v>46071</v>
      </c>
      <c r="H343" s="3">
        <v>45328</v>
      </c>
      <c r="I343" s="2" t="s">
        <v>695</v>
      </c>
      <c r="J343" s="2" t="s">
        <v>11</v>
      </c>
      <c r="K343" s="2">
        <v>29499.84</v>
      </c>
      <c r="L343" s="2" t="s">
        <v>19</v>
      </c>
      <c r="M343">
        <f t="shared" si="5"/>
        <v>0.532258064516129</v>
      </c>
    </row>
    <row r="344" spans="1:13" x14ac:dyDescent="0.35">
      <c r="A344" s="2">
        <v>1063</v>
      </c>
      <c r="B344" s="2">
        <v>343</v>
      </c>
      <c r="C344" s="2" t="s">
        <v>696</v>
      </c>
      <c r="D344" s="2">
        <v>88</v>
      </c>
      <c r="E344" s="2" t="str" cm="1">
        <f t="array" ref="E344">_xlfn.IFS(D344&gt;=60,"Senior",D344&gt;=23,"Adult",D344&gt;=18,"Teenager")</f>
        <v>Senior</v>
      </c>
      <c r="F344" s="2" t="s">
        <v>9</v>
      </c>
      <c r="G344" s="3">
        <v>45759</v>
      </c>
      <c r="H344" s="3">
        <v>45941</v>
      </c>
      <c r="I344" s="2" t="s">
        <v>697</v>
      </c>
      <c r="J344" s="2" t="s">
        <v>33</v>
      </c>
      <c r="K344" s="2">
        <v>268.75</v>
      </c>
      <c r="L344" s="2" t="s">
        <v>12</v>
      </c>
      <c r="M344">
        <f t="shared" si="5"/>
        <v>0.52845528455284552</v>
      </c>
    </row>
    <row r="345" spans="1:13" x14ac:dyDescent="0.35">
      <c r="A345" s="2">
        <v>1002</v>
      </c>
      <c r="B345" s="2">
        <v>344</v>
      </c>
      <c r="C345" s="2" t="s">
        <v>698</v>
      </c>
      <c r="D345" s="2">
        <v>28</v>
      </c>
      <c r="E345" s="2" t="str" cm="1">
        <f t="array" ref="E345">_xlfn.IFS(D345&gt;=60,"Senior",D345&gt;=23,"Adult",D345&gt;=18,"Teenager")</f>
        <v>Adult</v>
      </c>
      <c r="F345" s="2" t="s">
        <v>9</v>
      </c>
      <c r="G345" s="3">
        <v>45694</v>
      </c>
      <c r="H345" s="3">
        <v>45464</v>
      </c>
      <c r="I345" s="2" t="s">
        <v>699</v>
      </c>
      <c r="J345" s="2" t="s">
        <v>16</v>
      </c>
      <c r="K345" s="2">
        <v>25988.16</v>
      </c>
      <c r="L345" s="2" t="s">
        <v>12</v>
      </c>
      <c r="M345">
        <f t="shared" si="5"/>
        <v>0.53278688524590168</v>
      </c>
    </row>
    <row r="346" spans="1:13" x14ac:dyDescent="0.35">
      <c r="A346" s="2">
        <v>1075</v>
      </c>
      <c r="B346" s="2">
        <v>345</v>
      </c>
      <c r="C346" s="2" t="s">
        <v>700</v>
      </c>
      <c r="D346" s="2">
        <v>25</v>
      </c>
      <c r="E346" s="2" t="str" cm="1">
        <f t="array" ref="E346">_xlfn.IFS(D346&gt;=60,"Senior",D346&gt;=23,"Adult",D346&gt;=18,"Teenager")</f>
        <v>Adult</v>
      </c>
      <c r="F346" s="2" t="s">
        <v>9</v>
      </c>
      <c r="G346" s="3">
        <v>45725</v>
      </c>
      <c r="H346" s="3">
        <v>45592</v>
      </c>
      <c r="I346" s="2" t="s">
        <v>701</v>
      </c>
      <c r="J346" s="2" t="s">
        <v>33</v>
      </c>
      <c r="K346" s="2">
        <v>24322.560000000001</v>
      </c>
      <c r="L346" s="2" t="s">
        <v>19</v>
      </c>
      <c r="M346">
        <f t="shared" si="5"/>
        <v>0.53719008264462809</v>
      </c>
    </row>
    <row r="347" spans="1:13" x14ac:dyDescent="0.35">
      <c r="A347" s="2">
        <v>1090</v>
      </c>
      <c r="B347" s="2">
        <v>346</v>
      </c>
      <c r="C347" s="2" t="s">
        <v>702</v>
      </c>
      <c r="D347" s="2">
        <v>85</v>
      </c>
      <c r="E347" s="2" t="str" cm="1">
        <f t="array" ref="E347">_xlfn.IFS(D347&gt;=60,"Senior",D347&gt;=23,"Adult",D347&gt;=18,"Teenager")</f>
        <v>Senior</v>
      </c>
      <c r="F347" s="2" t="s">
        <v>14</v>
      </c>
      <c r="G347" s="3">
        <v>46042</v>
      </c>
      <c r="H347" s="3">
        <v>45726</v>
      </c>
      <c r="I347" s="2" t="s">
        <v>703</v>
      </c>
      <c r="J347" s="2" t="s">
        <v>16</v>
      </c>
      <c r="K347" s="2">
        <v>18515.52</v>
      </c>
      <c r="L347" s="2" t="s">
        <v>12</v>
      </c>
      <c r="M347">
        <f t="shared" si="5"/>
        <v>0.53333333333333333</v>
      </c>
    </row>
    <row r="348" spans="1:13" x14ac:dyDescent="0.35">
      <c r="A348" s="2">
        <v>1000</v>
      </c>
      <c r="B348" s="2">
        <v>347</v>
      </c>
      <c r="C348" s="2" t="s">
        <v>704</v>
      </c>
      <c r="D348" s="2">
        <v>18</v>
      </c>
      <c r="E348" s="2" t="str" cm="1">
        <f t="array" ref="E348">_xlfn.IFS(D348&gt;=60,"Senior",D348&gt;=23,"Adult",D348&gt;=18,"Teenager")</f>
        <v>Teenager</v>
      </c>
      <c r="F348" s="2" t="s">
        <v>14</v>
      </c>
      <c r="G348" s="3">
        <v>45883</v>
      </c>
      <c r="H348" s="3">
        <v>45757</v>
      </c>
      <c r="I348" s="2" t="s">
        <v>705</v>
      </c>
      <c r="J348" s="2" t="s">
        <v>33</v>
      </c>
      <c r="K348" s="2">
        <v>362.08</v>
      </c>
      <c r="L348" s="2" t="s">
        <v>12</v>
      </c>
      <c r="M348">
        <f t="shared" si="5"/>
        <v>0.53781512605042014</v>
      </c>
    </row>
    <row r="349" spans="1:13" x14ac:dyDescent="0.35">
      <c r="A349" s="2">
        <v>1075</v>
      </c>
      <c r="B349" s="2">
        <v>348</v>
      </c>
      <c r="C349" s="2" t="s">
        <v>706</v>
      </c>
      <c r="D349" s="2">
        <v>73</v>
      </c>
      <c r="E349" s="2" t="str" cm="1">
        <f t="array" ref="E349">_xlfn.IFS(D349&gt;=60,"Senior",D349&gt;=23,"Adult",D349&gt;=18,"Teenager")</f>
        <v>Senior</v>
      </c>
      <c r="F349" s="2" t="s">
        <v>14</v>
      </c>
      <c r="G349" s="3">
        <v>45752</v>
      </c>
      <c r="H349" s="3">
        <v>45646</v>
      </c>
      <c r="I349" s="2" t="s">
        <v>707</v>
      </c>
      <c r="J349" s="2" t="s">
        <v>16</v>
      </c>
      <c r="K349" s="2">
        <v>33425.279999999999</v>
      </c>
      <c r="L349" s="2" t="s">
        <v>12</v>
      </c>
      <c r="M349">
        <f t="shared" si="5"/>
        <v>0.5423728813559322</v>
      </c>
    </row>
    <row r="350" spans="1:13" x14ac:dyDescent="0.35">
      <c r="A350" s="2">
        <v>1021</v>
      </c>
      <c r="B350" s="2">
        <v>349</v>
      </c>
      <c r="C350" s="2" t="s">
        <v>708</v>
      </c>
      <c r="D350" s="2">
        <v>41</v>
      </c>
      <c r="E350" s="2" t="str" cm="1">
        <f t="array" ref="E350">_xlfn.IFS(D350&gt;=60,"Senior",D350&gt;=23,"Adult",D350&gt;=18,"Teenager")</f>
        <v>Adult</v>
      </c>
      <c r="F350" s="2" t="s">
        <v>14</v>
      </c>
      <c r="G350" s="3">
        <v>45911</v>
      </c>
      <c r="H350" s="3">
        <v>45626</v>
      </c>
      <c r="I350" s="2" t="s">
        <v>709</v>
      </c>
      <c r="J350" s="2" t="s">
        <v>11</v>
      </c>
      <c r="K350" s="2">
        <v>45427.199999999997</v>
      </c>
      <c r="L350" s="2" t="s">
        <v>12</v>
      </c>
      <c r="M350">
        <f t="shared" si="5"/>
        <v>0.54700854700854706</v>
      </c>
    </row>
    <row r="351" spans="1:13" x14ac:dyDescent="0.35">
      <c r="A351" s="2">
        <v>1052</v>
      </c>
      <c r="B351" s="2">
        <v>350</v>
      </c>
      <c r="C351" s="2" t="s">
        <v>710</v>
      </c>
      <c r="D351" s="2">
        <v>80</v>
      </c>
      <c r="E351" s="2" t="str" cm="1">
        <f t="array" ref="E351">_xlfn.IFS(D351&gt;=60,"Senior",D351&gt;=23,"Adult",D351&gt;=18,"Teenager")</f>
        <v>Senior</v>
      </c>
      <c r="F351" s="2" t="s">
        <v>9</v>
      </c>
      <c r="G351" s="3">
        <v>45781</v>
      </c>
      <c r="H351" s="3">
        <v>45555</v>
      </c>
      <c r="I351" s="2" t="s">
        <v>711</v>
      </c>
      <c r="J351" s="2" t="s">
        <v>26</v>
      </c>
      <c r="K351" s="2">
        <v>11912.64</v>
      </c>
      <c r="L351" s="2" t="s">
        <v>12</v>
      </c>
      <c r="M351">
        <f t="shared" si="5"/>
        <v>0.55172413793103448</v>
      </c>
    </row>
    <row r="352" spans="1:13" x14ac:dyDescent="0.35">
      <c r="A352" s="2">
        <v>1062</v>
      </c>
      <c r="B352" s="2">
        <v>351</v>
      </c>
      <c r="C352" s="2" t="s">
        <v>712</v>
      </c>
      <c r="D352" s="2">
        <v>23</v>
      </c>
      <c r="E352" s="2" t="str" cm="1">
        <f t="array" ref="E352">_xlfn.IFS(D352&gt;=60,"Senior",D352&gt;=23,"Adult",D352&gt;=18,"Teenager")</f>
        <v>Adult</v>
      </c>
      <c r="F352" s="2" t="s">
        <v>9</v>
      </c>
      <c r="G352" s="3">
        <v>46051</v>
      </c>
      <c r="H352" s="3">
        <v>45474</v>
      </c>
      <c r="I352" s="2" t="s">
        <v>713</v>
      </c>
      <c r="J352" s="2" t="s">
        <v>33</v>
      </c>
      <c r="K352" s="2">
        <v>14498.88</v>
      </c>
      <c r="L352" s="2" t="s">
        <v>12</v>
      </c>
      <c r="M352">
        <f t="shared" si="5"/>
        <v>0.55652173913043479</v>
      </c>
    </row>
    <row r="353" spans="1:13" x14ac:dyDescent="0.35">
      <c r="A353" s="2">
        <v>1088</v>
      </c>
      <c r="B353" s="2">
        <v>352</v>
      </c>
      <c r="C353" s="2" t="s">
        <v>714</v>
      </c>
      <c r="D353" s="2">
        <v>80</v>
      </c>
      <c r="E353" s="2" t="str" cm="1">
        <f t="array" ref="E353">_xlfn.IFS(D353&gt;=60,"Senior",D353&gt;=23,"Adult",D353&gt;=18,"Teenager")</f>
        <v>Senior</v>
      </c>
      <c r="F353" s="2" t="s">
        <v>9</v>
      </c>
      <c r="G353" s="3">
        <v>45839</v>
      </c>
      <c r="H353" s="3">
        <v>45608</v>
      </c>
      <c r="I353" s="2" t="s">
        <v>715</v>
      </c>
      <c r="J353" s="2" t="s">
        <v>11</v>
      </c>
      <c r="K353" s="2">
        <v>417.42</v>
      </c>
      <c r="L353" s="2" t="s">
        <v>19</v>
      </c>
      <c r="M353">
        <f t="shared" si="5"/>
        <v>0.56140350877192979</v>
      </c>
    </row>
    <row r="354" spans="1:13" x14ac:dyDescent="0.35">
      <c r="A354" s="2">
        <v>1028</v>
      </c>
      <c r="B354" s="2">
        <v>353</v>
      </c>
      <c r="C354" s="2" t="s">
        <v>716</v>
      </c>
      <c r="D354" s="2">
        <v>26</v>
      </c>
      <c r="E354" s="2" t="str" cm="1">
        <f t="array" ref="E354">_xlfn.IFS(D354&gt;=60,"Senior",D354&gt;=23,"Adult",D354&gt;=18,"Teenager")</f>
        <v>Adult</v>
      </c>
      <c r="F354" s="2" t="s">
        <v>9</v>
      </c>
      <c r="G354" s="3">
        <v>45915</v>
      </c>
      <c r="H354" s="3">
        <v>45790</v>
      </c>
      <c r="I354" s="2" t="s">
        <v>717</v>
      </c>
      <c r="J354" s="2" t="s">
        <v>26</v>
      </c>
      <c r="K354" s="2">
        <v>10838.4</v>
      </c>
      <c r="L354" s="2" t="s">
        <v>19</v>
      </c>
      <c r="M354">
        <f t="shared" si="5"/>
        <v>0.55752212389380529</v>
      </c>
    </row>
    <row r="355" spans="1:13" x14ac:dyDescent="0.35">
      <c r="A355" s="2">
        <v>1050</v>
      </c>
      <c r="B355" s="2">
        <v>354</v>
      </c>
      <c r="C355" s="2" t="s">
        <v>718</v>
      </c>
      <c r="D355" s="2">
        <v>65</v>
      </c>
      <c r="E355" s="2" t="str" cm="1">
        <f t="array" ref="E355">_xlfn.IFS(D355&gt;=60,"Senior",D355&gt;=23,"Adult",D355&gt;=18,"Teenager")</f>
        <v>Senior</v>
      </c>
      <c r="F355" s="2" t="s">
        <v>14</v>
      </c>
      <c r="G355" s="3">
        <v>46115</v>
      </c>
      <c r="H355" s="3">
        <v>45444</v>
      </c>
      <c r="I355" s="2" t="s">
        <v>719</v>
      </c>
      <c r="J355" s="2" t="s">
        <v>11</v>
      </c>
      <c r="K355" s="2">
        <v>126.44</v>
      </c>
      <c r="L355" s="2" t="s">
        <v>19</v>
      </c>
      <c r="M355">
        <f t="shared" si="5"/>
        <v>0.5535714285714286</v>
      </c>
    </row>
    <row r="356" spans="1:13" x14ac:dyDescent="0.35">
      <c r="A356" s="2">
        <v>1062</v>
      </c>
      <c r="B356" s="2">
        <v>355</v>
      </c>
      <c r="C356" s="2" t="s">
        <v>720</v>
      </c>
      <c r="D356" s="2">
        <v>84</v>
      </c>
      <c r="E356" s="2" t="str" cm="1">
        <f t="array" ref="E356">_xlfn.IFS(D356&gt;=60,"Senior",D356&gt;=23,"Adult",D356&gt;=18,"Teenager")</f>
        <v>Senior</v>
      </c>
      <c r="F356" s="2" t="s">
        <v>9</v>
      </c>
      <c r="G356" s="3">
        <v>45896</v>
      </c>
      <c r="H356" s="3">
        <v>45445</v>
      </c>
      <c r="I356" s="2" t="s">
        <v>721</v>
      </c>
      <c r="J356" s="2" t="s">
        <v>26</v>
      </c>
      <c r="K356" s="2">
        <v>190.01</v>
      </c>
      <c r="L356" s="2" t="s">
        <v>12</v>
      </c>
      <c r="M356">
        <f t="shared" si="5"/>
        <v>0.5495495495495496</v>
      </c>
    </row>
    <row r="357" spans="1:13" x14ac:dyDescent="0.35">
      <c r="A357" s="2">
        <v>1014</v>
      </c>
      <c r="B357" s="2">
        <v>356</v>
      </c>
      <c r="C357" s="2" t="s">
        <v>722</v>
      </c>
      <c r="D357" s="2">
        <v>67</v>
      </c>
      <c r="E357" s="2" t="str" cm="1">
        <f t="array" ref="E357">_xlfn.IFS(D357&gt;=60,"Senior",D357&gt;=23,"Adult",D357&gt;=18,"Teenager")</f>
        <v>Senior</v>
      </c>
      <c r="F357" s="2" t="s">
        <v>9</v>
      </c>
      <c r="G357" s="3">
        <v>46107</v>
      </c>
      <c r="H357" s="3">
        <v>46206</v>
      </c>
      <c r="I357" s="2" t="s">
        <v>723</v>
      </c>
      <c r="J357" s="2" t="s">
        <v>11</v>
      </c>
      <c r="K357" s="2">
        <v>281.44</v>
      </c>
      <c r="L357" s="2" t="s">
        <v>12</v>
      </c>
      <c r="M357">
        <f t="shared" si="5"/>
        <v>0.55454545454545456</v>
      </c>
    </row>
    <row r="358" spans="1:13" x14ac:dyDescent="0.35">
      <c r="A358" s="2">
        <v>1030</v>
      </c>
      <c r="B358" s="2">
        <v>357</v>
      </c>
      <c r="C358" s="2" t="s">
        <v>724</v>
      </c>
      <c r="D358" s="2">
        <v>40</v>
      </c>
      <c r="E358" s="2" t="str" cm="1">
        <f t="array" ref="E358">_xlfn.IFS(D358&gt;=60,"Senior",D358&gt;=23,"Adult",D358&gt;=18,"Teenager")</f>
        <v>Adult</v>
      </c>
      <c r="F358" s="2" t="s">
        <v>14</v>
      </c>
      <c r="G358" s="3">
        <v>45994</v>
      </c>
      <c r="H358" s="3">
        <v>45878</v>
      </c>
      <c r="I358" s="2" t="s">
        <v>725</v>
      </c>
      <c r="J358" s="2" t="s">
        <v>33</v>
      </c>
      <c r="K358" s="2">
        <v>252.73</v>
      </c>
      <c r="L358" s="2" t="s">
        <v>19</v>
      </c>
      <c r="M358">
        <f t="shared" si="5"/>
        <v>0.55963302752293576</v>
      </c>
    </row>
    <row r="359" spans="1:13" x14ac:dyDescent="0.35">
      <c r="A359" s="2">
        <v>1065</v>
      </c>
      <c r="B359" s="2">
        <v>358</v>
      </c>
      <c r="C359" s="2" t="s">
        <v>726</v>
      </c>
      <c r="D359" s="2">
        <v>32</v>
      </c>
      <c r="E359" s="2" t="str" cm="1">
        <f t="array" ref="E359">_xlfn.IFS(D359&gt;=60,"Senior",D359&gt;=23,"Adult",D359&gt;=18,"Teenager")</f>
        <v>Adult</v>
      </c>
      <c r="F359" s="2" t="s">
        <v>14</v>
      </c>
      <c r="G359" s="3">
        <v>45790</v>
      </c>
      <c r="H359" s="3">
        <v>45525</v>
      </c>
      <c r="I359" s="2" t="s">
        <v>727</v>
      </c>
      <c r="J359" s="2" t="s">
        <v>26</v>
      </c>
      <c r="K359" s="2">
        <v>392</v>
      </c>
      <c r="L359" s="2" t="s">
        <v>19</v>
      </c>
      <c r="M359">
        <f t="shared" si="5"/>
        <v>0.55555555555555558</v>
      </c>
    </row>
    <row r="360" spans="1:13" x14ac:dyDescent="0.35">
      <c r="A360" s="2">
        <v>1001</v>
      </c>
      <c r="B360" s="2">
        <v>359</v>
      </c>
      <c r="C360" s="2" t="s">
        <v>728</v>
      </c>
      <c r="D360" s="2">
        <v>61</v>
      </c>
      <c r="E360" s="2" t="str" cm="1">
        <f t="array" ref="E360">_xlfn.IFS(D360&gt;=60,"Senior",D360&gt;=23,"Adult",D360&gt;=18,"Teenager")</f>
        <v>Senior</v>
      </c>
      <c r="F360" s="2" t="s">
        <v>14</v>
      </c>
      <c r="G360" s="3">
        <v>45954</v>
      </c>
      <c r="H360" s="3">
        <v>45890</v>
      </c>
      <c r="I360" s="2" t="s">
        <v>729</v>
      </c>
      <c r="J360" s="2" t="s">
        <v>33</v>
      </c>
      <c r="K360" s="2">
        <v>81.87</v>
      </c>
      <c r="L360" s="2" t="s">
        <v>19</v>
      </c>
      <c r="M360">
        <f t="shared" si="5"/>
        <v>0.55140186915887845</v>
      </c>
    </row>
    <row r="361" spans="1:13" x14ac:dyDescent="0.35">
      <c r="A361" s="2">
        <v>1098</v>
      </c>
      <c r="B361" s="2">
        <v>360</v>
      </c>
      <c r="C361" s="2" t="s">
        <v>730</v>
      </c>
      <c r="D361" s="2">
        <v>66</v>
      </c>
      <c r="E361" s="2" t="str" cm="1">
        <f t="array" ref="E361">_xlfn.IFS(D361&gt;=60,"Senior",D361&gt;=23,"Adult",D361&gt;=18,"Teenager")</f>
        <v>Senior</v>
      </c>
      <c r="F361" s="2" t="s">
        <v>9</v>
      </c>
      <c r="G361" s="3">
        <v>45794</v>
      </c>
      <c r="H361" s="3">
        <v>45533</v>
      </c>
      <c r="I361" s="2" t="s">
        <v>731</v>
      </c>
      <c r="J361" s="2" t="s">
        <v>16</v>
      </c>
      <c r="K361" s="2">
        <v>13439.04</v>
      </c>
      <c r="L361" s="2" t="s">
        <v>12</v>
      </c>
      <c r="M361">
        <f t="shared" si="5"/>
        <v>0.54716981132075471</v>
      </c>
    </row>
    <row r="362" spans="1:13" x14ac:dyDescent="0.35">
      <c r="A362" s="2">
        <v>1066</v>
      </c>
      <c r="B362" s="2">
        <v>361</v>
      </c>
      <c r="C362" s="2" t="s">
        <v>732</v>
      </c>
      <c r="D362" s="2">
        <v>74</v>
      </c>
      <c r="E362" s="2" t="str" cm="1">
        <f t="array" ref="E362">_xlfn.IFS(D362&gt;=60,"Senior",D362&gt;=23,"Adult",D362&gt;=18,"Teenager")</f>
        <v>Senior</v>
      </c>
      <c r="F362" s="2" t="s">
        <v>9</v>
      </c>
      <c r="G362" s="3">
        <v>45800</v>
      </c>
      <c r="H362" s="3">
        <v>45652</v>
      </c>
      <c r="I362" s="2" t="s">
        <v>733</v>
      </c>
      <c r="J362" s="2" t="s">
        <v>33</v>
      </c>
      <c r="K362" s="2">
        <v>486.07</v>
      </c>
      <c r="L362" s="2" t="s">
        <v>19</v>
      </c>
      <c r="M362">
        <f t="shared" si="5"/>
        <v>0.55238095238095242</v>
      </c>
    </row>
    <row r="363" spans="1:13" x14ac:dyDescent="0.35">
      <c r="A363" s="2">
        <v>1078</v>
      </c>
      <c r="B363" s="2">
        <v>362</v>
      </c>
      <c r="C363" s="2" t="s">
        <v>734</v>
      </c>
      <c r="D363" s="2">
        <v>52</v>
      </c>
      <c r="E363" s="2" t="str" cm="1">
        <f t="array" ref="E363">_xlfn.IFS(D363&gt;=60,"Senior",D363&gt;=23,"Adult",D363&gt;=18,"Teenager")</f>
        <v>Adult</v>
      </c>
      <c r="F363" s="2" t="s">
        <v>9</v>
      </c>
      <c r="G363" s="3">
        <v>45985</v>
      </c>
      <c r="H363" s="3">
        <v>45422</v>
      </c>
      <c r="I363" s="2" t="s">
        <v>735</v>
      </c>
      <c r="J363" s="2" t="s">
        <v>26</v>
      </c>
      <c r="K363" s="2">
        <v>164.9</v>
      </c>
      <c r="L363" s="2" t="s">
        <v>12</v>
      </c>
      <c r="M363">
        <f t="shared" si="5"/>
        <v>0.54807692307692313</v>
      </c>
    </row>
    <row r="364" spans="1:13" x14ac:dyDescent="0.35">
      <c r="A364" s="2">
        <v>1072</v>
      </c>
      <c r="B364" s="2">
        <v>363</v>
      </c>
      <c r="C364" s="2" t="s">
        <v>736</v>
      </c>
      <c r="D364" s="2">
        <v>86</v>
      </c>
      <c r="E364" s="2" t="str" cm="1">
        <f t="array" ref="E364">_xlfn.IFS(D364&gt;=60,"Senior",D364&gt;=23,"Adult",D364&gt;=18,"Teenager")</f>
        <v>Senior</v>
      </c>
      <c r="F364" s="2" t="s">
        <v>9</v>
      </c>
      <c r="G364" s="3">
        <v>45842</v>
      </c>
      <c r="H364" s="3">
        <v>45676</v>
      </c>
      <c r="I364" s="2" t="s">
        <v>737</v>
      </c>
      <c r="J364" s="2" t="s">
        <v>33</v>
      </c>
      <c r="K364" s="2">
        <v>7184.64</v>
      </c>
      <c r="L364" s="2" t="s">
        <v>19</v>
      </c>
      <c r="M364">
        <f t="shared" si="5"/>
        <v>0.55339805825242716</v>
      </c>
    </row>
    <row r="365" spans="1:13" x14ac:dyDescent="0.35">
      <c r="A365" s="2">
        <v>1011</v>
      </c>
      <c r="B365" s="2">
        <v>364</v>
      </c>
      <c r="C365" s="2" t="s">
        <v>738</v>
      </c>
      <c r="D365" s="2">
        <v>65</v>
      </c>
      <c r="E365" s="2" t="str" cm="1">
        <f t="array" ref="E365">_xlfn.IFS(D365&gt;=60,"Senior",D365&gt;=23,"Adult",D365&gt;=18,"Teenager")</f>
        <v>Senior</v>
      </c>
      <c r="F365" s="2" t="s">
        <v>9</v>
      </c>
      <c r="G365" s="3">
        <v>45923</v>
      </c>
      <c r="H365" s="3">
        <v>45295</v>
      </c>
      <c r="I365" s="2" t="s">
        <v>739</v>
      </c>
      <c r="J365" s="2" t="s">
        <v>33</v>
      </c>
      <c r="K365" s="2">
        <v>230.11</v>
      </c>
      <c r="L365" s="2" t="s">
        <v>19</v>
      </c>
      <c r="M365">
        <f t="shared" si="5"/>
        <v>0.5490196078431373</v>
      </c>
    </row>
    <row r="366" spans="1:13" x14ac:dyDescent="0.35">
      <c r="A366" s="2">
        <v>1080</v>
      </c>
      <c r="B366" s="2">
        <v>365</v>
      </c>
      <c r="C366" s="2" t="s">
        <v>740</v>
      </c>
      <c r="D366" s="2">
        <v>49</v>
      </c>
      <c r="E366" s="2" t="str" cm="1">
        <f t="array" ref="E366">_xlfn.IFS(D366&gt;=60,"Senior",D366&gt;=23,"Adult",D366&gt;=18,"Teenager")</f>
        <v>Adult</v>
      </c>
      <c r="F366" s="2" t="s">
        <v>14</v>
      </c>
      <c r="G366" s="3">
        <v>45960</v>
      </c>
      <c r="H366" s="3">
        <v>45820</v>
      </c>
      <c r="I366" s="2" t="s">
        <v>741</v>
      </c>
      <c r="J366" s="2" t="s">
        <v>16</v>
      </c>
      <c r="K366" s="2">
        <v>410.8</v>
      </c>
      <c r="L366" s="2" t="s">
        <v>12</v>
      </c>
      <c r="M366">
        <f t="shared" si="5"/>
        <v>0.54455445544554459</v>
      </c>
    </row>
    <row r="367" spans="1:13" x14ac:dyDescent="0.35">
      <c r="A367" s="2">
        <v>1069</v>
      </c>
      <c r="B367" s="2">
        <v>366</v>
      </c>
      <c r="C367" s="2" t="s">
        <v>742</v>
      </c>
      <c r="D367" s="2">
        <v>48</v>
      </c>
      <c r="E367" s="2" t="str" cm="1">
        <f t="array" ref="E367">_xlfn.IFS(D367&gt;=60,"Senior",D367&gt;=23,"Adult",D367&gt;=18,"Teenager")</f>
        <v>Adult</v>
      </c>
      <c r="F367" s="2" t="s">
        <v>9</v>
      </c>
      <c r="G367" s="3">
        <v>45931</v>
      </c>
      <c r="H367" s="3">
        <v>45599</v>
      </c>
      <c r="I367" s="2" t="s">
        <v>743</v>
      </c>
      <c r="J367" s="2" t="s">
        <v>26</v>
      </c>
      <c r="K367" s="2">
        <v>9356.16</v>
      </c>
      <c r="L367" s="2" t="s">
        <v>12</v>
      </c>
      <c r="M367">
        <f t="shared" si="5"/>
        <v>0.55000000000000004</v>
      </c>
    </row>
    <row r="368" spans="1:13" x14ac:dyDescent="0.35">
      <c r="A368" s="2">
        <v>1051</v>
      </c>
      <c r="B368" s="2">
        <v>367</v>
      </c>
      <c r="C368" s="2" t="s">
        <v>744</v>
      </c>
      <c r="D368" s="2">
        <v>63</v>
      </c>
      <c r="E368" s="2" t="str" cm="1">
        <f t="array" ref="E368">_xlfn.IFS(D368&gt;=60,"Senior",D368&gt;=23,"Adult",D368&gt;=18,"Teenager")</f>
        <v>Senior</v>
      </c>
      <c r="F368" s="2" t="s">
        <v>9</v>
      </c>
      <c r="G368" s="3">
        <v>46083</v>
      </c>
      <c r="H368" s="3">
        <v>45720</v>
      </c>
      <c r="I368" s="2" t="s">
        <v>745</v>
      </c>
      <c r="J368" s="2" t="s">
        <v>11</v>
      </c>
      <c r="K368" s="2">
        <v>116.32</v>
      </c>
      <c r="L368" s="2" t="s">
        <v>19</v>
      </c>
      <c r="M368">
        <f t="shared" si="5"/>
        <v>0.55555555555555558</v>
      </c>
    </row>
    <row r="369" spans="1:13" x14ac:dyDescent="0.35">
      <c r="A369" s="2">
        <v>1092</v>
      </c>
      <c r="B369" s="2">
        <v>368</v>
      </c>
      <c r="C369" s="2" t="s">
        <v>746</v>
      </c>
      <c r="D369" s="2">
        <v>44</v>
      </c>
      <c r="E369" s="2" t="str" cm="1">
        <f t="array" ref="E369">_xlfn.IFS(D369&gt;=60,"Senior",D369&gt;=23,"Adult",D369&gt;=18,"Teenager")</f>
        <v>Adult</v>
      </c>
      <c r="F369" s="2" t="s">
        <v>9</v>
      </c>
      <c r="G369" s="3">
        <v>45992</v>
      </c>
      <c r="H369" s="3">
        <v>45504</v>
      </c>
      <c r="I369" s="2" t="s">
        <v>747</v>
      </c>
      <c r="J369" s="2" t="s">
        <v>33</v>
      </c>
      <c r="K369" s="2">
        <v>19516.8</v>
      </c>
      <c r="L369" s="2" t="s">
        <v>19</v>
      </c>
      <c r="M369">
        <f t="shared" si="5"/>
        <v>0.55102040816326525</v>
      </c>
    </row>
    <row r="370" spans="1:13" x14ac:dyDescent="0.35">
      <c r="A370" s="2">
        <v>1093</v>
      </c>
      <c r="B370" s="2">
        <v>369</v>
      </c>
      <c r="C370" s="2" t="s">
        <v>83</v>
      </c>
      <c r="D370" s="2">
        <v>23</v>
      </c>
      <c r="E370" s="2" t="str" cm="1">
        <f t="array" ref="E370">_xlfn.IFS(D370&gt;=60,"Senior",D370&gt;=23,"Adult",D370&gt;=18,"Teenager")</f>
        <v>Adult</v>
      </c>
      <c r="F370" s="2" t="s">
        <v>14</v>
      </c>
      <c r="G370" s="3">
        <v>45909</v>
      </c>
      <c r="H370" s="3">
        <v>45621</v>
      </c>
      <c r="I370" s="2" t="s">
        <v>748</v>
      </c>
      <c r="J370" s="2" t="s">
        <v>11</v>
      </c>
      <c r="K370" s="2">
        <v>13385.28</v>
      </c>
      <c r="L370" s="2" t="s">
        <v>12</v>
      </c>
      <c r="M370">
        <f t="shared" si="5"/>
        <v>0.54639175257731953</v>
      </c>
    </row>
    <row r="371" spans="1:13" x14ac:dyDescent="0.35">
      <c r="A371" s="2">
        <v>1055</v>
      </c>
      <c r="B371" s="2">
        <v>370</v>
      </c>
      <c r="C371" s="2" t="s">
        <v>749</v>
      </c>
      <c r="D371" s="2">
        <v>71</v>
      </c>
      <c r="E371" s="2" t="str" cm="1">
        <f t="array" ref="E371">_xlfn.IFS(D371&gt;=60,"Senior",D371&gt;=23,"Adult",D371&gt;=18,"Teenager")</f>
        <v>Senior</v>
      </c>
      <c r="F371" s="2" t="s">
        <v>14</v>
      </c>
      <c r="G371" s="3">
        <v>45794</v>
      </c>
      <c r="H371" s="3">
        <v>45501</v>
      </c>
      <c r="I371" s="2" t="s">
        <v>750</v>
      </c>
      <c r="J371" s="2" t="s">
        <v>33</v>
      </c>
      <c r="K371" s="2">
        <v>7138.56</v>
      </c>
      <c r="L371" s="2" t="s">
        <v>19</v>
      </c>
      <c r="M371">
        <f t="shared" si="5"/>
        <v>0.55208333333333337</v>
      </c>
    </row>
    <row r="372" spans="1:13" x14ac:dyDescent="0.35">
      <c r="A372" s="2">
        <v>1074</v>
      </c>
      <c r="B372" s="2">
        <v>371</v>
      </c>
      <c r="C372" s="2" t="s">
        <v>751</v>
      </c>
      <c r="D372" s="2">
        <v>48</v>
      </c>
      <c r="E372" s="2" t="str" cm="1">
        <f t="array" ref="E372">_xlfn.IFS(D372&gt;=60,"Senior",D372&gt;=23,"Adult",D372&gt;=18,"Teenager")</f>
        <v>Adult</v>
      </c>
      <c r="F372" s="2" t="s">
        <v>9</v>
      </c>
      <c r="G372" s="3">
        <v>45755</v>
      </c>
      <c r="H372" s="3">
        <v>45718</v>
      </c>
      <c r="I372" s="2" t="s">
        <v>752</v>
      </c>
      <c r="J372" s="2" t="s">
        <v>26</v>
      </c>
      <c r="K372" s="2">
        <v>7438.08</v>
      </c>
      <c r="L372" s="2" t="s">
        <v>12</v>
      </c>
      <c r="M372">
        <f t="shared" si="5"/>
        <v>0.54736842105263162</v>
      </c>
    </row>
    <row r="373" spans="1:13" x14ac:dyDescent="0.35">
      <c r="A373" s="2">
        <v>1037</v>
      </c>
      <c r="B373" s="2">
        <v>372</v>
      </c>
      <c r="C373" s="2" t="s">
        <v>753</v>
      </c>
      <c r="D373" s="2">
        <v>39</v>
      </c>
      <c r="E373" s="2" t="str" cm="1">
        <f t="array" ref="E373">_xlfn.IFS(D373&gt;=60,"Senior",D373&gt;=23,"Adult",D373&gt;=18,"Teenager")</f>
        <v>Adult</v>
      </c>
      <c r="F373" s="2" t="s">
        <v>14</v>
      </c>
      <c r="G373" s="3">
        <v>45986</v>
      </c>
      <c r="H373" s="3">
        <v>45864</v>
      </c>
      <c r="I373" s="2" t="s">
        <v>754</v>
      </c>
      <c r="J373" s="2" t="s">
        <v>11</v>
      </c>
      <c r="K373" s="2">
        <v>319.04000000000002</v>
      </c>
      <c r="L373" s="2" t="s">
        <v>19</v>
      </c>
      <c r="M373">
        <f t="shared" si="5"/>
        <v>0.55319148936170215</v>
      </c>
    </row>
    <row r="374" spans="1:13" x14ac:dyDescent="0.35">
      <c r="A374" s="2">
        <v>1039</v>
      </c>
      <c r="B374" s="2">
        <v>373</v>
      </c>
      <c r="C374" s="2" t="s">
        <v>755</v>
      </c>
      <c r="D374" s="2">
        <v>46</v>
      </c>
      <c r="E374" s="2" t="str" cm="1">
        <f t="array" ref="E374">_xlfn.IFS(D374&gt;=60,"Senior",D374&gt;=23,"Adult",D374&gt;=18,"Teenager")</f>
        <v>Adult</v>
      </c>
      <c r="F374" s="2" t="s">
        <v>9</v>
      </c>
      <c r="G374" s="3">
        <v>45867</v>
      </c>
      <c r="H374" s="3">
        <v>45992</v>
      </c>
      <c r="I374" s="2" t="s">
        <v>756</v>
      </c>
      <c r="J374" s="2" t="s">
        <v>26</v>
      </c>
      <c r="K374" s="2">
        <v>160.18</v>
      </c>
      <c r="L374" s="2" t="s">
        <v>19</v>
      </c>
      <c r="M374">
        <f t="shared" si="5"/>
        <v>0.54838709677419351</v>
      </c>
    </row>
    <row r="375" spans="1:13" x14ac:dyDescent="0.35">
      <c r="A375" s="2">
        <v>1040</v>
      </c>
      <c r="B375" s="2">
        <v>374</v>
      </c>
      <c r="C375" s="2" t="s">
        <v>757</v>
      </c>
      <c r="D375" s="2">
        <v>62</v>
      </c>
      <c r="E375" s="2" t="str" cm="1">
        <f t="array" ref="E375">_xlfn.IFS(D375&gt;=60,"Senior",D375&gt;=23,"Adult",D375&gt;=18,"Teenager")</f>
        <v>Senior</v>
      </c>
      <c r="F375" s="2" t="s">
        <v>14</v>
      </c>
      <c r="G375" s="3">
        <v>46043</v>
      </c>
      <c r="H375" s="3">
        <v>45639</v>
      </c>
      <c r="I375" s="2" t="s">
        <v>758</v>
      </c>
      <c r="J375" s="2" t="s">
        <v>16</v>
      </c>
      <c r="K375" s="2">
        <v>27853.439999999999</v>
      </c>
      <c r="L375" s="2" t="s">
        <v>19</v>
      </c>
      <c r="M375">
        <f t="shared" si="5"/>
        <v>0.54347826086956519</v>
      </c>
    </row>
    <row r="376" spans="1:13" x14ac:dyDescent="0.35">
      <c r="A376" s="2">
        <v>1097</v>
      </c>
      <c r="B376" s="2">
        <v>375</v>
      </c>
      <c r="C376" s="2" t="s">
        <v>759</v>
      </c>
      <c r="D376" s="2">
        <v>88</v>
      </c>
      <c r="E376" s="2" t="str" cm="1">
        <f t="array" ref="E376">_xlfn.IFS(D376&gt;=60,"Senior",D376&gt;=23,"Adult",D376&gt;=18,"Teenager")</f>
        <v>Senior</v>
      </c>
      <c r="F376" s="2" t="s">
        <v>9</v>
      </c>
      <c r="G376" s="3">
        <v>46018</v>
      </c>
      <c r="H376" s="3">
        <v>45651</v>
      </c>
      <c r="I376" s="2" t="s">
        <v>760</v>
      </c>
      <c r="J376" s="2" t="s">
        <v>11</v>
      </c>
      <c r="K376" s="2">
        <v>38253.120000000003</v>
      </c>
      <c r="L376" s="2" t="s">
        <v>19</v>
      </c>
      <c r="M376">
        <f t="shared" si="5"/>
        <v>0.53846153846153844</v>
      </c>
    </row>
    <row r="377" spans="1:13" x14ac:dyDescent="0.35">
      <c r="A377" s="2">
        <v>1067</v>
      </c>
      <c r="B377" s="2">
        <v>376</v>
      </c>
      <c r="C377" s="2" t="s">
        <v>761</v>
      </c>
      <c r="D377" s="2">
        <v>57</v>
      </c>
      <c r="E377" s="2" t="str" cm="1">
        <f t="array" ref="E377">_xlfn.IFS(D377&gt;=60,"Senior",D377&gt;=23,"Adult",D377&gt;=18,"Teenager")</f>
        <v>Adult</v>
      </c>
      <c r="F377" s="2" t="s">
        <v>9</v>
      </c>
      <c r="G377" s="3">
        <v>46013</v>
      </c>
      <c r="H377" s="3">
        <v>45809</v>
      </c>
      <c r="I377" s="2" t="s">
        <v>196</v>
      </c>
      <c r="J377" s="2" t="s">
        <v>16</v>
      </c>
      <c r="K377" s="2">
        <v>13663.68</v>
      </c>
      <c r="L377" s="2" t="s">
        <v>12</v>
      </c>
      <c r="M377">
        <f t="shared" si="5"/>
        <v>0.53333333333333333</v>
      </c>
    </row>
    <row r="378" spans="1:13" x14ac:dyDescent="0.35">
      <c r="A378" s="2">
        <v>1064</v>
      </c>
      <c r="B378" s="2">
        <v>377</v>
      </c>
      <c r="C378" s="2" t="s">
        <v>762</v>
      </c>
      <c r="D378" s="2">
        <v>57</v>
      </c>
      <c r="E378" s="2" t="str" cm="1">
        <f t="array" ref="E378">_xlfn.IFS(D378&gt;=60,"Senior",D378&gt;=23,"Adult",D378&gt;=18,"Teenager")</f>
        <v>Adult</v>
      </c>
      <c r="F378" s="2" t="s">
        <v>14</v>
      </c>
      <c r="G378" s="3">
        <v>45847</v>
      </c>
      <c r="H378" s="3">
        <v>45392</v>
      </c>
      <c r="I378" s="2" t="s">
        <v>763</v>
      </c>
      <c r="J378" s="2" t="s">
        <v>11</v>
      </c>
      <c r="K378" s="2">
        <v>476.81</v>
      </c>
      <c r="L378" s="2" t="s">
        <v>12</v>
      </c>
      <c r="M378">
        <f t="shared" si="5"/>
        <v>0.5393258426966292</v>
      </c>
    </row>
    <row r="379" spans="1:13" x14ac:dyDescent="0.35">
      <c r="A379" s="2">
        <v>1053</v>
      </c>
      <c r="B379" s="2">
        <v>378</v>
      </c>
      <c r="C379" s="2" t="s">
        <v>764</v>
      </c>
      <c r="D379" s="2">
        <v>39</v>
      </c>
      <c r="E379" s="2" t="str" cm="1">
        <f t="array" ref="E379">_xlfn.IFS(D379&gt;=60,"Senior",D379&gt;=23,"Adult",D379&gt;=18,"Teenager")</f>
        <v>Adult</v>
      </c>
      <c r="F379" s="2" t="s">
        <v>14</v>
      </c>
      <c r="G379" s="3">
        <v>46037</v>
      </c>
      <c r="H379" s="3">
        <v>45972</v>
      </c>
      <c r="I379" s="2" t="s">
        <v>765</v>
      </c>
      <c r="J379" s="2" t="s">
        <v>11</v>
      </c>
      <c r="K379" s="2">
        <v>28388.16</v>
      </c>
      <c r="L379" s="2" t="s">
        <v>12</v>
      </c>
      <c r="M379">
        <f t="shared" si="5"/>
        <v>0.54545454545454541</v>
      </c>
    </row>
    <row r="380" spans="1:13" x14ac:dyDescent="0.35">
      <c r="A380" s="2">
        <v>1035</v>
      </c>
      <c r="B380" s="2">
        <v>379</v>
      </c>
      <c r="C380" s="2" t="s">
        <v>766</v>
      </c>
      <c r="D380" s="2">
        <v>46</v>
      </c>
      <c r="E380" s="2" t="str" cm="1">
        <f t="array" ref="E380">_xlfn.IFS(D380&gt;=60,"Senior",D380&gt;=23,"Adult",D380&gt;=18,"Teenager")</f>
        <v>Adult</v>
      </c>
      <c r="F380" s="2" t="s">
        <v>9</v>
      </c>
      <c r="G380" s="3">
        <v>45882</v>
      </c>
      <c r="H380" s="3">
        <v>45802</v>
      </c>
      <c r="I380" s="2" t="s">
        <v>767</v>
      </c>
      <c r="J380" s="2" t="s">
        <v>26</v>
      </c>
      <c r="K380" s="2">
        <v>167.5</v>
      </c>
      <c r="L380" s="2" t="s">
        <v>19</v>
      </c>
      <c r="M380">
        <f t="shared" si="5"/>
        <v>0.55172413793103448</v>
      </c>
    </row>
    <row r="381" spans="1:13" x14ac:dyDescent="0.35">
      <c r="A381" s="2">
        <v>1015</v>
      </c>
      <c r="B381" s="2">
        <v>380</v>
      </c>
      <c r="C381" s="2" t="s">
        <v>768</v>
      </c>
      <c r="D381" s="2">
        <v>21</v>
      </c>
      <c r="E381" s="2" t="str" cm="1">
        <f t="array" ref="E381">_xlfn.IFS(D381&gt;=60,"Senior",D381&gt;=23,"Adult",D381&gt;=18,"Teenager")</f>
        <v>Teenager</v>
      </c>
      <c r="F381" s="2" t="s">
        <v>9</v>
      </c>
      <c r="G381" s="3">
        <v>45842</v>
      </c>
      <c r="H381" s="3">
        <v>45695</v>
      </c>
      <c r="I381" s="2" t="s">
        <v>486</v>
      </c>
      <c r="J381" s="2" t="s">
        <v>26</v>
      </c>
      <c r="K381" s="2">
        <v>16159.68</v>
      </c>
      <c r="L381" s="2" t="s">
        <v>12</v>
      </c>
      <c r="M381">
        <f t="shared" si="5"/>
        <v>0.54651162790697672</v>
      </c>
    </row>
    <row r="382" spans="1:13" x14ac:dyDescent="0.35">
      <c r="A382" s="2">
        <v>1099</v>
      </c>
      <c r="B382" s="2">
        <v>381</v>
      </c>
      <c r="C382" s="2" t="s">
        <v>769</v>
      </c>
      <c r="D382" s="2">
        <v>74</v>
      </c>
      <c r="E382" s="2" t="str" cm="1">
        <f t="array" ref="E382">_xlfn.IFS(D382&gt;=60,"Senior",D382&gt;=23,"Adult",D382&gt;=18,"Teenager")</f>
        <v>Senior</v>
      </c>
      <c r="F382" s="2" t="s">
        <v>14</v>
      </c>
      <c r="G382" s="3">
        <v>45786</v>
      </c>
      <c r="H382" s="3">
        <v>45637</v>
      </c>
      <c r="I382" s="2" t="s">
        <v>770</v>
      </c>
      <c r="J382" s="2" t="s">
        <v>26</v>
      </c>
      <c r="K382" s="2">
        <v>46899.839999999997</v>
      </c>
      <c r="L382" s="2" t="s">
        <v>12</v>
      </c>
      <c r="M382">
        <f t="shared" si="5"/>
        <v>0.55294117647058827</v>
      </c>
    </row>
    <row r="383" spans="1:13" x14ac:dyDescent="0.35">
      <c r="A383" s="2">
        <v>1056</v>
      </c>
      <c r="B383" s="2">
        <v>382</v>
      </c>
      <c r="C383" s="2" t="s">
        <v>771</v>
      </c>
      <c r="D383" s="2">
        <v>26</v>
      </c>
      <c r="E383" s="2" t="str" cm="1">
        <f t="array" ref="E383">_xlfn.IFS(D383&gt;=60,"Senior",D383&gt;=23,"Adult",D383&gt;=18,"Teenager")</f>
        <v>Adult</v>
      </c>
      <c r="F383" s="2" t="s">
        <v>9</v>
      </c>
      <c r="G383" s="3">
        <v>45987</v>
      </c>
      <c r="H383" s="3">
        <v>45764</v>
      </c>
      <c r="I383" s="2" t="s">
        <v>772</v>
      </c>
      <c r="J383" s="2" t="s">
        <v>16</v>
      </c>
      <c r="K383" s="2">
        <v>32685.119999999999</v>
      </c>
      <c r="L383" s="2" t="s">
        <v>12</v>
      </c>
      <c r="M383">
        <f t="shared" si="5"/>
        <v>0.55952380952380953</v>
      </c>
    </row>
    <row r="384" spans="1:13" x14ac:dyDescent="0.35">
      <c r="A384" s="2">
        <v>1050</v>
      </c>
      <c r="B384" s="2">
        <v>383</v>
      </c>
      <c r="C384" s="2" t="s">
        <v>773</v>
      </c>
      <c r="D384" s="2">
        <v>41</v>
      </c>
      <c r="E384" s="2" t="str" cm="1">
        <f t="array" ref="E384">_xlfn.IFS(D384&gt;=60,"Senior",D384&gt;=23,"Adult",D384&gt;=18,"Teenager")</f>
        <v>Adult</v>
      </c>
      <c r="F384" s="2" t="s">
        <v>9</v>
      </c>
      <c r="G384" s="3">
        <v>46060</v>
      </c>
      <c r="H384" s="3">
        <v>45804</v>
      </c>
      <c r="I384" s="2" t="s">
        <v>774</v>
      </c>
      <c r="J384" s="2" t="s">
        <v>33</v>
      </c>
      <c r="K384" s="2">
        <v>63.62</v>
      </c>
      <c r="L384" s="2" t="s">
        <v>19</v>
      </c>
      <c r="M384">
        <f t="shared" si="5"/>
        <v>0.5662650602409639</v>
      </c>
    </row>
    <row r="385" spans="1:13" x14ac:dyDescent="0.35">
      <c r="A385" s="2">
        <v>1003</v>
      </c>
      <c r="B385" s="2">
        <v>384</v>
      </c>
      <c r="C385" s="2" t="s">
        <v>775</v>
      </c>
      <c r="D385" s="2">
        <v>85</v>
      </c>
      <c r="E385" s="2" t="str" cm="1">
        <f t="array" ref="E385">_xlfn.IFS(D385&gt;=60,"Senior",D385&gt;=23,"Adult",D385&gt;=18,"Teenager")</f>
        <v>Senior</v>
      </c>
      <c r="F385" s="2" t="s">
        <v>9</v>
      </c>
      <c r="G385" s="3">
        <v>45868</v>
      </c>
      <c r="H385" s="3">
        <v>45579</v>
      </c>
      <c r="I385" s="2" t="s">
        <v>776</v>
      </c>
      <c r="J385" s="2" t="s">
        <v>26</v>
      </c>
      <c r="K385" s="2">
        <v>9752.64</v>
      </c>
      <c r="L385" s="2" t="s">
        <v>19</v>
      </c>
      <c r="M385">
        <f t="shared" si="5"/>
        <v>0.56097560975609762</v>
      </c>
    </row>
    <row r="386" spans="1:13" x14ac:dyDescent="0.35">
      <c r="A386" s="2">
        <v>1042</v>
      </c>
      <c r="B386" s="2">
        <v>385</v>
      </c>
      <c r="C386" s="2" t="s">
        <v>777</v>
      </c>
      <c r="D386" s="2">
        <v>60</v>
      </c>
      <c r="E386" s="2" t="str" cm="1">
        <f t="array" ref="E386">_xlfn.IFS(D386&gt;=60,"Senior",D386&gt;=23,"Adult",D386&gt;=18,"Teenager")</f>
        <v>Senior</v>
      </c>
      <c r="F386" s="2" t="s">
        <v>9</v>
      </c>
      <c r="G386" s="3">
        <v>45744</v>
      </c>
      <c r="H386" s="3">
        <v>45610</v>
      </c>
      <c r="I386" s="2" t="s">
        <v>778</v>
      </c>
      <c r="J386" s="2" t="s">
        <v>33</v>
      </c>
      <c r="K386" s="2">
        <v>47854.080000000002</v>
      </c>
      <c r="L386" s="2" t="s">
        <v>19</v>
      </c>
      <c r="M386">
        <f t="shared" si="5"/>
        <v>0.55555555555555558</v>
      </c>
    </row>
    <row r="387" spans="1:13" x14ac:dyDescent="0.35">
      <c r="A387" s="2">
        <v>1019</v>
      </c>
      <c r="B387" s="2">
        <v>386</v>
      </c>
      <c r="C387" s="2" t="s">
        <v>779</v>
      </c>
      <c r="D387" s="2">
        <v>34</v>
      </c>
      <c r="E387" s="2" t="str" cm="1">
        <f t="array" ref="E387">_xlfn.IFS(D387&gt;=60,"Senior",D387&gt;=23,"Adult",D387&gt;=18,"Teenager")</f>
        <v>Adult</v>
      </c>
      <c r="F387" s="2" t="s">
        <v>9</v>
      </c>
      <c r="G387" s="3">
        <v>46081</v>
      </c>
      <c r="H387" s="3">
        <v>45869</v>
      </c>
      <c r="I387" s="2" t="s">
        <v>780</v>
      </c>
      <c r="J387" s="2" t="s">
        <v>11</v>
      </c>
      <c r="K387" s="2">
        <v>29360.639999999999</v>
      </c>
      <c r="L387" s="2" t="s">
        <v>19</v>
      </c>
      <c r="M387">
        <f t="shared" ref="M387:M450" si="6">COUNTIF(L387:L851,"Yes")/COUNTA(L387:L851)</f>
        <v>0.55000000000000004</v>
      </c>
    </row>
    <row r="388" spans="1:13" x14ac:dyDescent="0.35">
      <c r="A388" s="2">
        <v>1073</v>
      </c>
      <c r="B388" s="2">
        <v>387</v>
      </c>
      <c r="C388" s="2" t="s">
        <v>781</v>
      </c>
      <c r="D388" s="2">
        <v>32</v>
      </c>
      <c r="E388" s="2" t="str" cm="1">
        <f t="array" ref="E388">_xlfn.IFS(D388&gt;=60,"Senior",D388&gt;=23,"Adult",D388&gt;=18,"Teenager")</f>
        <v>Adult</v>
      </c>
      <c r="F388" s="2" t="s">
        <v>9</v>
      </c>
      <c r="G388" s="3">
        <v>46044</v>
      </c>
      <c r="H388" s="3">
        <v>45625</v>
      </c>
      <c r="I388" s="2" t="s">
        <v>782</v>
      </c>
      <c r="J388" s="2" t="s">
        <v>26</v>
      </c>
      <c r="K388" s="2">
        <v>160.05000000000001</v>
      </c>
      <c r="L388" s="2" t="s">
        <v>19</v>
      </c>
      <c r="M388">
        <f t="shared" si="6"/>
        <v>0.54430379746835444</v>
      </c>
    </row>
    <row r="389" spans="1:13" x14ac:dyDescent="0.35">
      <c r="A389" s="2">
        <v>1027</v>
      </c>
      <c r="B389" s="2">
        <v>388</v>
      </c>
      <c r="C389" s="2" t="s">
        <v>783</v>
      </c>
      <c r="D389" s="2">
        <v>54</v>
      </c>
      <c r="E389" s="2" t="str" cm="1">
        <f t="array" ref="E389">_xlfn.IFS(D389&gt;=60,"Senior",D389&gt;=23,"Adult",D389&gt;=18,"Teenager")</f>
        <v>Adult</v>
      </c>
      <c r="F389" s="2" t="s">
        <v>9</v>
      </c>
      <c r="G389" s="3">
        <v>46001</v>
      </c>
      <c r="H389" s="3">
        <v>45724</v>
      </c>
      <c r="I389" s="2" t="s">
        <v>784</v>
      </c>
      <c r="J389" s="2" t="s">
        <v>33</v>
      </c>
      <c r="K389" s="2">
        <v>39034.559999999998</v>
      </c>
      <c r="L389" s="2" t="s">
        <v>19</v>
      </c>
      <c r="M389">
        <f t="shared" si="6"/>
        <v>0.53846153846153844</v>
      </c>
    </row>
    <row r="390" spans="1:13" x14ac:dyDescent="0.35">
      <c r="A390" s="2">
        <v>1077</v>
      </c>
      <c r="B390" s="2">
        <v>389</v>
      </c>
      <c r="C390" s="2" t="s">
        <v>785</v>
      </c>
      <c r="D390" s="2">
        <v>21</v>
      </c>
      <c r="E390" s="2" t="str" cm="1">
        <f t="array" ref="E390">_xlfn.IFS(D390&gt;=60,"Senior",D390&gt;=23,"Adult",D390&gt;=18,"Teenager")</f>
        <v>Teenager</v>
      </c>
      <c r="F390" s="2" t="s">
        <v>9</v>
      </c>
      <c r="G390" s="3">
        <v>45886</v>
      </c>
      <c r="H390" s="3">
        <v>45475</v>
      </c>
      <c r="I390" s="2" t="s">
        <v>786</v>
      </c>
      <c r="J390" s="2" t="s">
        <v>33</v>
      </c>
      <c r="K390" s="2">
        <v>30256.32</v>
      </c>
      <c r="L390" s="2" t="s">
        <v>12</v>
      </c>
      <c r="M390">
        <f t="shared" si="6"/>
        <v>0.53246753246753242</v>
      </c>
    </row>
    <row r="391" spans="1:13" x14ac:dyDescent="0.35">
      <c r="A391" s="2">
        <v>1052</v>
      </c>
      <c r="B391" s="2">
        <v>390</v>
      </c>
      <c r="C391" s="2" t="s">
        <v>787</v>
      </c>
      <c r="D391" s="2">
        <v>26</v>
      </c>
      <c r="E391" s="2" t="str" cm="1">
        <f t="array" ref="E391">_xlfn.IFS(D391&gt;=60,"Senior",D391&gt;=23,"Adult",D391&gt;=18,"Teenager")</f>
        <v>Adult</v>
      </c>
      <c r="F391" s="2" t="s">
        <v>9</v>
      </c>
      <c r="G391" s="3">
        <v>45961</v>
      </c>
      <c r="H391" s="3">
        <v>45738</v>
      </c>
      <c r="I391" s="2" t="s">
        <v>788</v>
      </c>
      <c r="J391" s="2" t="s">
        <v>16</v>
      </c>
      <c r="K391" s="2">
        <v>44273.279999999999</v>
      </c>
      <c r="L391" s="2" t="s">
        <v>19</v>
      </c>
      <c r="M391">
        <f t="shared" si="6"/>
        <v>0.53947368421052633</v>
      </c>
    </row>
    <row r="392" spans="1:13" x14ac:dyDescent="0.35">
      <c r="A392" s="2">
        <v>1062</v>
      </c>
      <c r="B392" s="2">
        <v>391</v>
      </c>
      <c r="C392" s="2" t="s">
        <v>789</v>
      </c>
      <c r="D392" s="2">
        <v>85</v>
      </c>
      <c r="E392" s="2" t="str" cm="1">
        <f t="array" ref="E392">_xlfn.IFS(D392&gt;=60,"Senior",D392&gt;=23,"Adult",D392&gt;=18,"Teenager")</f>
        <v>Senior</v>
      </c>
      <c r="F392" s="2" t="s">
        <v>9</v>
      </c>
      <c r="G392" s="3">
        <v>46057</v>
      </c>
      <c r="H392" s="3">
        <v>45648</v>
      </c>
      <c r="I392" s="2" t="s">
        <v>790</v>
      </c>
      <c r="J392" s="2" t="s">
        <v>26</v>
      </c>
      <c r="K392" s="2">
        <v>206.57</v>
      </c>
      <c r="L392" s="2" t="s">
        <v>19</v>
      </c>
      <c r="M392">
        <f t="shared" si="6"/>
        <v>0.53333333333333333</v>
      </c>
    </row>
    <row r="393" spans="1:13" x14ac:dyDescent="0.35">
      <c r="A393" s="2">
        <v>1056</v>
      </c>
      <c r="B393" s="2">
        <v>392</v>
      </c>
      <c r="C393" s="2" t="s">
        <v>791</v>
      </c>
      <c r="D393" s="2">
        <v>84</v>
      </c>
      <c r="E393" s="2" t="str" cm="1">
        <f t="array" ref="E393">_xlfn.IFS(D393&gt;=60,"Senior",D393&gt;=23,"Adult",D393&gt;=18,"Teenager")</f>
        <v>Senior</v>
      </c>
      <c r="F393" s="2" t="s">
        <v>9</v>
      </c>
      <c r="G393" s="3">
        <v>45803</v>
      </c>
      <c r="H393" s="3">
        <v>45596</v>
      </c>
      <c r="I393" s="2" t="s">
        <v>792</v>
      </c>
      <c r="J393" s="2" t="s">
        <v>26</v>
      </c>
      <c r="K393" s="2">
        <v>36960.959999999999</v>
      </c>
      <c r="L393" s="2" t="s">
        <v>12</v>
      </c>
      <c r="M393">
        <f t="shared" si="6"/>
        <v>0.52702702702702697</v>
      </c>
    </row>
    <row r="394" spans="1:13" x14ac:dyDescent="0.35">
      <c r="A394" s="2">
        <v>1009</v>
      </c>
      <c r="B394" s="2">
        <v>393</v>
      </c>
      <c r="C394" s="2" t="s">
        <v>793</v>
      </c>
      <c r="D394" s="2">
        <v>30</v>
      </c>
      <c r="E394" s="2" t="str" cm="1">
        <f t="array" ref="E394">_xlfn.IFS(D394&gt;=60,"Senior",D394&gt;=23,"Adult",D394&gt;=18,"Teenager")</f>
        <v>Adult</v>
      </c>
      <c r="F394" s="2" t="s">
        <v>9</v>
      </c>
      <c r="G394" s="3">
        <v>45835</v>
      </c>
      <c r="H394" s="3">
        <v>45798</v>
      </c>
      <c r="I394" s="2" t="s">
        <v>794</v>
      </c>
      <c r="J394" s="2" t="s">
        <v>11</v>
      </c>
      <c r="K394" s="2">
        <v>16210.56</v>
      </c>
      <c r="L394" s="2" t="s">
        <v>19</v>
      </c>
      <c r="M394">
        <f t="shared" si="6"/>
        <v>0.53424657534246578</v>
      </c>
    </row>
    <row r="395" spans="1:13" x14ac:dyDescent="0.35">
      <c r="A395" s="2">
        <v>1029</v>
      </c>
      <c r="B395" s="2">
        <v>394</v>
      </c>
      <c r="C395" s="2" t="s">
        <v>795</v>
      </c>
      <c r="D395" s="2">
        <v>23</v>
      </c>
      <c r="E395" s="2" t="str" cm="1">
        <f t="array" ref="E395">_xlfn.IFS(D395&gt;=60,"Senior",D395&gt;=23,"Adult",D395&gt;=18,"Teenager")</f>
        <v>Adult</v>
      </c>
      <c r="F395" s="2" t="s">
        <v>9</v>
      </c>
      <c r="G395" s="3">
        <v>46054</v>
      </c>
      <c r="H395" s="3">
        <v>45904</v>
      </c>
      <c r="I395" s="2" t="s">
        <v>796</v>
      </c>
      <c r="J395" s="2" t="s">
        <v>33</v>
      </c>
      <c r="K395" s="2">
        <v>44453.760000000002</v>
      </c>
      <c r="L395" s="2" t="s">
        <v>19</v>
      </c>
      <c r="M395">
        <f t="shared" si="6"/>
        <v>0.52777777777777779</v>
      </c>
    </row>
    <row r="396" spans="1:13" x14ac:dyDescent="0.35">
      <c r="A396" s="2">
        <v>1047</v>
      </c>
      <c r="B396" s="2">
        <v>395</v>
      </c>
      <c r="C396" s="2" t="s">
        <v>797</v>
      </c>
      <c r="D396" s="2">
        <v>66</v>
      </c>
      <c r="E396" s="2" t="str" cm="1">
        <f t="array" ref="E396">_xlfn.IFS(D396&gt;=60,"Senior",D396&gt;=23,"Adult",D396&gt;=18,"Teenager")</f>
        <v>Senior</v>
      </c>
      <c r="F396" s="2" t="s">
        <v>14</v>
      </c>
      <c r="G396" s="3">
        <v>45890</v>
      </c>
      <c r="H396" s="3">
        <v>45418</v>
      </c>
      <c r="I396" s="2" t="s">
        <v>798</v>
      </c>
      <c r="J396" s="2" t="s">
        <v>11</v>
      </c>
      <c r="K396" s="2">
        <v>25139.52</v>
      </c>
      <c r="L396" s="2" t="s">
        <v>12</v>
      </c>
      <c r="M396">
        <f t="shared" si="6"/>
        <v>0.52112676056338025</v>
      </c>
    </row>
    <row r="397" spans="1:13" x14ac:dyDescent="0.35">
      <c r="A397" s="2">
        <v>1091</v>
      </c>
      <c r="B397" s="2">
        <v>396</v>
      </c>
      <c r="C397" s="2" t="s">
        <v>799</v>
      </c>
      <c r="D397" s="2">
        <v>25</v>
      </c>
      <c r="E397" s="2" t="str" cm="1">
        <f t="array" ref="E397">_xlfn.IFS(D397&gt;=60,"Senior",D397&gt;=23,"Adult",D397&gt;=18,"Teenager")</f>
        <v>Adult</v>
      </c>
      <c r="F397" s="2" t="s">
        <v>14</v>
      </c>
      <c r="G397" s="3">
        <v>45980</v>
      </c>
      <c r="H397" s="3">
        <v>45976</v>
      </c>
      <c r="I397" s="2" t="s">
        <v>800</v>
      </c>
      <c r="J397" s="2" t="s">
        <v>26</v>
      </c>
      <c r="K397" s="2">
        <v>170.53</v>
      </c>
      <c r="L397" s="2" t="s">
        <v>12</v>
      </c>
      <c r="M397">
        <f t="shared" si="6"/>
        <v>0.52857142857142858</v>
      </c>
    </row>
    <row r="398" spans="1:13" x14ac:dyDescent="0.35">
      <c r="A398" s="2">
        <v>1026</v>
      </c>
      <c r="B398" s="2">
        <v>397</v>
      </c>
      <c r="C398" s="2" t="s">
        <v>801</v>
      </c>
      <c r="D398" s="2">
        <v>56</v>
      </c>
      <c r="E398" s="2" t="str" cm="1">
        <f t="array" ref="E398">_xlfn.IFS(D398&gt;=60,"Senior",D398&gt;=23,"Adult",D398&gt;=18,"Teenager")</f>
        <v>Adult</v>
      </c>
      <c r="F398" s="2" t="s">
        <v>9</v>
      </c>
      <c r="G398" s="3">
        <v>46011</v>
      </c>
      <c r="H398" s="3">
        <v>45832</v>
      </c>
      <c r="I398" s="2" t="s">
        <v>802</v>
      </c>
      <c r="J398" s="2" t="s">
        <v>11</v>
      </c>
      <c r="K398" s="2">
        <v>18975.36</v>
      </c>
      <c r="L398" s="2" t="s">
        <v>12</v>
      </c>
      <c r="M398">
        <f t="shared" si="6"/>
        <v>0.53623188405797106</v>
      </c>
    </row>
    <row r="399" spans="1:13" x14ac:dyDescent="0.35">
      <c r="A399" s="2">
        <v>1031</v>
      </c>
      <c r="B399" s="2">
        <v>398</v>
      </c>
      <c r="C399" s="2" t="s">
        <v>803</v>
      </c>
      <c r="D399" s="2">
        <v>43</v>
      </c>
      <c r="E399" s="2" t="str" cm="1">
        <f t="array" ref="E399">_xlfn.IFS(D399&gt;=60,"Senior",D399&gt;=23,"Adult",D399&gt;=18,"Teenager")</f>
        <v>Adult</v>
      </c>
      <c r="F399" s="2" t="s">
        <v>14</v>
      </c>
      <c r="G399" s="3">
        <v>45896</v>
      </c>
      <c r="H399" s="3">
        <v>45423</v>
      </c>
      <c r="I399" s="2" t="s">
        <v>804</v>
      </c>
      <c r="J399" s="2" t="s">
        <v>16</v>
      </c>
      <c r="K399" s="2">
        <v>25257.599999999999</v>
      </c>
      <c r="L399" s="2" t="s">
        <v>19</v>
      </c>
      <c r="M399">
        <f t="shared" si="6"/>
        <v>0.54411764705882348</v>
      </c>
    </row>
    <row r="400" spans="1:13" x14ac:dyDescent="0.35">
      <c r="A400" s="2">
        <v>1063</v>
      </c>
      <c r="B400" s="2">
        <v>399</v>
      </c>
      <c r="C400" s="2" t="s">
        <v>805</v>
      </c>
      <c r="D400" s="2">
        <v>48</v>
      </c>
      <c r="E400" s="2" t="str" cm="1">
        <f t="array" ref="E400">_xlfn.IFS(D400&gt;=60,"Senior",D400&gt;=23,"Adult",D400&gt;=18,"Teenager")</f>
        <v>Adult</v>
      </c>
      <c r="F400" s="2" t="s">
        <v>9</v>
      </c>
      <c r="G400" s="3">
        <v>46045</v>
      </c>
      <c r="H400" s="3">
        <v>45943</v>
      </c>
      <c r="I400" s="2" t="s">
        <v>806</v>
      </c>
      <c r="J400" s="2" t="s">
        <v>33</v>
      </c>
      <c r="K400" s="2">
        <v>23888.639999999999</v>
      </c>
      <c r="L400" s="2" t="s">
        <v>12</v>
      </c>
      <c r="M400">
        <f t="shared" si="6"/>
        <v>0.53731343283582089</v>
      </c>
    </row>
    <row r="401" spans="1:13" x14ac:dyDescent="0.35">
      <c r="A401" s="2">
        <v>1009</v>
      </c>
      <c r="B401" s="2">
        <v>400</v>
      </c>
      <c r="C401" s="2" t="s">
        <v>807</v>
      </c>
      <c r="D401" s="2">
        <v>37</v>
      </c>
      <c r="E401" s="2" t="str" cm="1">
        <f t="array" ref="E401">_xlfn.IFS(D401&gt;=60,"Senior",D401&gt;=23,"Adult",D401&gt;=18,"Teenager")</f>
        <v>Adult</v>
      </c>
      <c r="F401" s="2" t="s">
        <v>14</v>
      </c>
      <c r="G401" s="3">
        <v>45861</v>
      </c>
      <c r="H401" s="3">
        <v>45730</v>
      </c>
      <c r="I401" s="2" t="s">
        <v>808</v>
      </c>
      <c r="J401" s="2" t="s">
        <v>26</v>
      </c>
      <c r="K401" s="2">
        <v>8580.48</v>
      </c>
      <c r="L401" s="2" t="s">
        <v>12</v>
      </c>
      <c r="M401">
        <f t="shared" si="6"/>
        <v>0.54545454545454541</v>
      </c>
    </row>
    <row r="402" spans="1:13" x14ac:dyDescent="0.35">
      <c r="A402" s="2">
        <v>1001</v>
      </c>
      <c r="B402" s="2">
        <v>401</v>
      </c>
      <c r="C402" s="2" t="s">
        <v>809</v>
      </c>
      <c r="D402" s="2">
        <v>25</v>
      </c>
      <c r="E402" s="2" t="str" cm="1">
        <f t="array" ref="E402">_xlfn.IFS(D402&gt;=60,"Senior",D402&gt;=23,"Adult",D402&gt;=18,"Teenager")</f>
        <v>Adult</v>
      </c>
      <c r="F402" s="2" t="s">
        <v>9</v>
      </c>
      <c r="G402" s="3">
        <v>46062</v>
      </c>
      <c r="H402" s="3">
        <v>45676</v>
      </c>
      <c r="I402" s="2" t="s">
        <v>810</v>
      </c>
      <c r="J402" s="2" t="s">
        <v>33</v>
      </c>
      <c r="K402" s="2">
        <v>20880.96</v>
      </c>
      <c r="L402" s="2" t="s">
        <v>19</v>
      </c>
      <c r="M402">
        <f t="shared" si="6"/>
        <v>0.55384615384615388</v>
      </c>
    </row>
    <row r="403" spans="1:13" x14ac:dyDescent="0.35">
      <c r="A403" s="2">
        <v>1008</v>
      </c>
      <c r="B403" s="2">
        <v>402</v>
      </c>
      <c r="C403" s="2" t="s">
        <v>811</v>
      </c>
      <c r="D403" s="2">
        <v>77</v>
      </c>
      <c r="E403" s="2" t="str" cm="1">
        <f t="array" ref="E403">_xlfn.IFS(D403&gt;=60,"Senior",D403&gt;=23,"Adult",D403&gt;=18,"Teenager")</f>
        <v>Senior</v>
      </c>
      <c r="F403" s="2" t="s">
        <v>9</v>
      </c>
      <c r="G403" s="3">
        <v>46029</v>
      </c>
      <c r="H403" s="3">
        <v>45472</v>
      </c>
      <c r="I403" s="2" t="s">
        <v>812</v>
      </c>
      <c r="J403" s="2" t="s">
        <v>26</v>
      </c>
      <c r="K403" s="2">
        <v>28693.439999999999</v>
      </c>
      <c r="L403" s="2" t="s">
        <v>19</v>
      </c>
      <c r="M403">
        <f t="shared" si="6"/>
        <v>0.546875</v>
      </c>
    </row>
    <row r="404" spans="1:13" x14ac:dyDescent="0.35">
      <c r="A404" s="2">
        <v>1084</v>
      </c>
      <c r="B404" s="2">
        <v>403</v>
      </c>
      <c r="C404" s="2" t="s">
        <v>813</v>
      </c>
      <c r="D404" s="2">
        <v>83</v>
      </c>
      <c r="E404" s="2" t="str" cm="1">
        <f t="array" ref="E404">_xlfn.IFS(D404&gt;=60,"Senior",D404&gt;=23,"Adult",D404&gt;=18,"Teenager")</f>
        <v>Senior</v>
      </c>
      <c r="F404" s="2" t="s">
        <v>9</v>
      </c>
      <c r="G404" s="3">
        <v>45865</v>
      </c>
      <c r="H404" s="3">
        <v>45744</v>
      </c>
      <c r="I404" s="2" t="s">
        <v>814</v>
      </c>
      <c r="J404" s="2" t="s">
        <v>33</v>
      </c>
      <c r="K404" s="2">
        <v>30570.240000000002</v>
      </c>
      <c r="L404" s="2" t="s">
        <v>12</v>
      </c>
      <c r="M404">
        <f t="shared" si="6"/>
        <v>0.53968253968253965</v>
      </c>
    </row>
    <row r="405" spans="1:13" x14ac:dyDescent="0.35">
      <c r="A405" s="2">
        <v>1008</v>
      </c>
      <c r="B405" s="2">
        <v>404</v>
      </c>
      <c r="C405" s="2" t="s">
        <v>815</v>
      </c>
      <c r="D405" s="2">
        <v>44</v>
      </c>
      <c r="E405" s="2" t="str" cm="1">
        <f t="array" ref="E405">_xlfn.IFS(D405&gt;=60,"Senior",D405&gt;=23,"Adult",D405&gt;=18,"Teenager")</f>
        <v>Adult</v>
      </c>
      <c r="F405" s="2" t="s">
        <v>9</v>
      </c>
      <c r="G405" s="3">
        <v>45937</v>
      </c>
      <c r="H405" s="3">
        <v>45613</v>
      </c>
      <c r="I405" s="2" t="s">
        <v>816</v>
      </c>
      <c r="J405" s="2" t="s">
        <v>16</v>
      </c>
      <c r="K405" s="2">
        <v>291.99</v>
      </c>
      <c r="L405" s="2" t="s">
        <v>12</v>
      </c>
      <c r="M405">
        <f t="shared" si="6"/>
        <v>0.54838709677419351</v>
      </c>
    </row>
    <row r="406" spans="1:13" x14ac:dyDescent="0.35">
      <c r="A406" s="2">
        <v>1039</v>
      </c>
      <c r="B406" s="2">
        <v>405</v>
      </c>
      <c r="C406" s="2" t="s">
        <v>817</v>
      </c>
      <c r="D406" s="2">
        <v>69</v>
      </c>
      <c r="E406" s="2" t="str" cm="1">
        <f t="array" ref="E406">_xlfn.IFS(D406&gt;=60,"Senior",D406&gt;=23,"Adult",D406&gt;=18,"Teenager")</f>
        <v>Senior</v>
      </c>
      <c r="F406" s="2" t="s">
        <v>9</v>
      </c>
      <c r="G406" s="3">
        <v>46057</v>
      </c>
      <c r="H406" s="3">
        <v>45582</v>
      </c>
      <c r="I406" s="2" t="s">
        <v>818</v>
      </c>
      <c r="J406" s="2" t="s">
        <v>26</v>
      </c>
      <c r="K406" s="2">
        <v>15509.76</v>
      </c>
      <c r="L406" s="2" t="s">
        <v>19</v>
      </c>
      <c r="M406">
        <f t="shared" si="6"/>
        <v>0.55737704918032782</v>
      </c>
    </row>
    <row r="407" spans="1:13" x14ac:dyDescent="0.35">
      <c r="A407" s="2">
        <v>1023</v>
      </c>
      <c r="B407" s="2">
        <v>406</v>
      </c>
      <c r="C407" s="2" t="s">
        <v>819</v>
      </c>
      <c r="D407" s="2">
        <v>76</v>
      </c>
      <c r="E407" s="2" t="str" cm="1">
        <f t="array" ref="E407">_xlfn.IFS(D407&gt;=60,"Senior",D407&gt;=23,"Adult",D407&gt;=18,"Teenager")</f>
        <v>Senior</v>
      </c>
      <c r="F407" s="2" t="s">
        <v>14</v>
      </c>
      <c r="G407" s="3">
        <v>45888</v>
      </c>
      <c r="H407" s="3">
        <v>45884</v>
      </c>
      <c r="I407" s="2" t="s">
        <v>820</v>
      </c>
      <c r="J407" s="2" t="s">
        <v>11</v>
      </c>
      <c r="K407" s="2">
        <v>151.58000000000001</v>
      </c>
      <c r="L407" s="2" t="s">
        <v>19</v>
      </c>
      <c r="M407">
        <f t="shared" si="6"/>
        <v>0.55000000000000004</v>
      </c>
    </row>
    <row r="408" spans="1:13" x14ac:dyDescent="0.35">
      <c r="A408" s="2">
        <v>1004</v>
      </c>
      <c r="B408" s="2">
        <v>407</v>
      </c>
      <c r="C408" s="2" t="s">
        <v>821</v>
      </c>
      <c r="D408" s="2">
        <v>67</v>
      </c>
      <c r="E408" s="2" t="str" cm="1">
        <f t="array" ref="E408">_xlfn.IFS(D408&gt;=60,"Senior",D408&gt;=23,"Adult",D408&gt;=18,"Teenager")</f>
        <v>Senior</v>
      </c>
      <c r="F408" s="2" t="s">
        <v>14</v>
      </c>
      <c r="G408" s="3">
        <v>45981</v>
      </c>
      <c r="H408" s="3">
        <v>45696</v>
      </c>
      <c r="I408" s="2" t="s">
        <v>822</v>
      </c>
      <c r="J408" s="2" t="s">
        <v>16</v>
      </c>
      <c r="K408" s="2">
        <v>338.13</v>
      </c>
      <c r="L408" s="2" t="s">
        <v>19</v>
      </c>
      <c r="M408">
        <f t="shared" si="6"/>
        <v>0.5423728813559322</v>
      </c>
    </row>
    <row r="409" spans="1:13" x14ac:dyDescent="0.35">
      <c r="A409" s="2">
        <v>1077</v>
      </c>
      <c r="B409" s="2">
        <v>408</v>
      </c>
      <c r="C409" s="2" t="s">
        <v>823</v>
      </c>
      <c r="D409" s="2">
        <v>78</v>
      </c>
      <c r="E409" s="2" t="str" cm="1">
        <f t="array" ref="E409">_xlfn.IFS(D409&gt;=60,"Senior",D409&gt;=23,"Adult",D409&gt;=18,"Teenager")</f>
        <v>Senior</v>
      </c>
      <c r="F409" s="2" t="s">
        <v>14</v>
      </c>
      <c r="G409" s="3">
        <v>45970</v>
      </c>
      <c r="H409" s="3">
        <v>45852</v>
      </c>
      <c r="I409" s="2" t="s">
        <v>824</v>
      </c>
      <c r="J409" s="2" t="s">
        <v>33</v>
      </c>
      <c r="K409" s="2">
        <v>114.73</v>
      </c>
      <c r="L409" s="2" t="s">
        <v>19</v>
      </c>
      <c r="M409">
        <f t="shared" si="6"/>
        <v>0.53448275862068961</v>
      </c>
    </row>
    <row r="410" spans="1:13" x14ac:dyDescent="0.35">
      <c r="A410" s="2">
        <v>1078</v>
      </c>
      <c r="B410" s="2">
        <v>409</v>
      </c>
      <c r="C410" s="2" t="s">
        <v>825</v>
      </c>
      <c r="D410" s="2">
        <v>25</v>
      </c>
      <c r="E410" s="2" t="str" cm="1">
        <f t="array" ref="E410">_xlfn.IFS(D410&gt;=60,"Senior",D410&gt;=23,"Adult",D410&gt;=18,"Teenager")</f>
        <v>Adult</v>
      </c>
      <c r="F410" s="2" t="s">
        <v>9</v>
      </c>
      <c r="G410" s="3">
        <v>45977</v>
      </c>
      <c r="H410" s="3">
        <v>45557</v>
      </c>
      <c r="I410" s="2" t="s">
        <v>826</v>
      </c>
      <c r="J410" s="2" t="s">
        <v>26</v>
      </c>
      <c r="K410" s="2">
        <v>35381.760000000002</v>
      </c>
      <c r="L410" s="2" t="s">
        <v>12</v>
      </c>
      <c r="M410">
        <f t="shared" si="6"/>
        <v>0.52631578947368418</v>
      </c>
    </row>
    <row r="411" spans="1:13" x14ac:dyDescent="0.35">
      <c r="A411" s="2">
        <v>1054</v>
      </c>
      <c r="B411" s="2">
        <v>410</v>
      </c>
      <c r="C411" s="2" t="s">
        <v>827</v>
      </c>
      <c r="D411" s="2">
        <v>50</v>
      </c>
      <c r="E411" s="2" t="str" cm="1">
        <f t="array" ref="E411">_xlfn.IFS(D411&gt;=60,"Senior",D411&gt;=23,"Adult",D411&gt;=18,"Teenager")</f>
        <v>Adult</v>
      </c>
      <c r="F411" s="2" t="s">
        <v>9</v>
      </c>
      <c r="G411" s="3">
        <v>45813</v>
      </c>
      <c r="H411" s="3">
        <v>45645</v>
      </c>
      <c r="I411" s="2" t="s">
        <v>828</v>
      </c>
      <c r="J411" s="2" t="s">
        <v>11</v>
      </c>
      <c r="K411" s="2">
        <v>496.31</v>
      </c>
      <c r="L411" s="2" t="s">
        <v>12</v>
      </c>
      <c r="M411">
        <f t="shared" si="6"/>
        <v>0.5357142857142857</v>
      </c>
    </row>
    <row r="412" spans="1:13" x14ac:dyDescent="0.35">
      <c r="A412" s="2">
        <v>1008</v>
      </c>
      <c r="B412" s="2">
        <v>411</v>
      </c>
      <c r="C412" s="2" t="s">
        <v>829</v>
      </c>
      <c r="D412" s="2">
        <v>34</v>
      </c>
      <c r="E412" s="2" t="str" cm="1">
        <f t="array" ref="E412">_xlfn.IFS(D412&gt;=60,"Senior",D412&gt;=23,"Adult",D412&gt;=18,"Teenager")</f>
        <v>Adult</v>
      </c>
      <c r="F412" s="2" t="s">
        <v>9</v>
      </c>
      <c r="G412" s="3">
        <v>45940</v>
      </c>
      <c r="H412" s="3">
        <v>45779</v>
      </c>
      <c r="I412" s="2" t="s">
        <v>830</v>
      </c>
      <c r="J412" s="2" t="s">
        <v>16</v>
      </c>
      <c r="K412" s="2">
        <v>41419.199999999997</v>
      </c>
      <c r="L412" s="2" t="s">
        <v>12</v>
      </c>
      <c r="M412">
        <f t="shared" si="6"/>
        <v>0.54545454545454541</v>
      </c>
    </row>
    <row r="413" spans="1:13" x14ac:dyDescent="0.35">
      <c r="A413" s="2">
        <v>1074</v>
      </c>
      <c r="B413" s="2">
        <v>412</v>
      </c>
      <c r="C413" s="2" t="s">
        <v>831</v>
      </c>
      <c r="D413" s="2">
        <v>23</v>
      </c>
      <c r="E413" s="2" t="str" cm="1">
        <f t="array" ref="E413">_xlfn.IFS(D413&gt;=60,"Senior",D413&gt;=23,"Adult",D413&gt;=18,"Teenager")</f>
        <v>Adult</v>
      </c>
      <c r="F413" s="2" t="s">
        <v>14</v>
      </c>
      <c r="G413" s="3">
        <v>45803</v>
      </c>
      <c r="H413" s="3">
        <v>45674</v>
      </c>
      <c r="I413" s="2" t="s">
        <v>832</v>
      </c>
      <c r="J413" s="2" t="s">
        <v>16</v>
      </c>
      <c r="K413" s="2">
        <v>57.03</v>
      </c>
      <c r="L413" s="2" t="s">
        <v>19</v>
      </c>
      <c r="M413">
        <f t="shared" si="6"/>
        <v>0.55555555555555558</v>
      </c>
    </row>
    <row r="414" spans="1:13" x14ac:dyDescent="0.35">
      <c r="A414" s="2">
        <v>1025</v>
      </c>
      <c r="B414" s="2">
        <v>413</v>
      </c>
      <c r="C414" s="2" t="s">
        <v>833</v>
      </c>
      <c r="D414" s="2">
        <v>52</v>
      </c>
      <c r="E414" s="2" t="str" cm="1">
        <f t="array" ref="E414">_xlfn.IFS(D414&gt;=60,"Senior",D414&gt;=23,"Adult",D414&gt;=18,"Teenager")</f>
        <v>Adult</v>
      </c>
      <c r="F414" s="2" t="s">
        <v>9</v>
      </c>
      <c r="G414" s="3">
        <v>45783</v>
      </c>
      <c r="H414" s="3">
        <v>45602</v>
      </c>
      <c r="I414" s="2" t="s">
        <v>834</v>
      </c>
      <c r="J414" s="2" t="s">
        <v>33</v>
      </c>
      <c r="K414" s="2">
        <v>219.97</v>
      </c>
      <c r="L414" s="2" t="s">
        <v>12</v>
      </c>
      <c r="M414">
        <f t="shared" si="6"/>
        <v>0.54716981132075471</v>
      </c>
    </row>
    <row r="415" spans="1:13" x14ac:dyDescent="0.35">
      <c r="A415" s="2">
        <v>1077</v>
      </c>
      <c r="B415" s="2">
        <v>414</v>
      </c>
      <c r="C415" s="2" t="s">
        <v>835</v>
      </c>
      <c r="D415" s="2">
        <v>58</v>
      </c>
      <c r="E415" s="2" t="str" cm="1">
        <f t="array" ref="E415">_xlfn.IFS(D415&gt;=60,"Senior",D415&gt;=23,"Adult",D415&gt;=18,"Teenager")</f>
        <v>Adult</v>
      </c>
      <c r="F415" s="2" t="s">
        <v>9</v>
      </c>
      <c r="G415" s="3">
        <v>46106</v>
      </c>
      <c r="H415" s="3">
        <v>45954</v>
      </c>
      <c r="I415" s="2" t="s">
        <v>836</v>
      </c>
      <c r="J415" s="2" t="s">
        <v>16</v>
      </c>
      <c r="K415" s="2">
        <v>19106.88</v>
      </c>
      <c r="L415" s="2" t="s">
        <v>12</v>
      </c>
      <c r="M415">
        <f t="shared" si="6"/>
        <v>0.55769230769230771</v>
      </c>
    </row>
    <row r="416" spans="1:13" x14ac:dyDescent="0.35">
      <c r="A416" s="2">
        <v>1083</v>
      </c>
      <c r="B416" s="2">
        <v>415</v>
      </c>
      <c r="C416" s="2" t="s">
        <v>837</v>
      </c>
      <c r="D416" s="2">
        <v>18</v>
      </c>
      <c r="E416" s="2" t="str" cm="1">
        <f t="array" ref="E416">_xlfn.IFS(D416&gt;=60,"Senior",D416&gt;=23,"Adult",D416&gt;=18,"Teenager")</f>
        <v>Teenager</v>
      </c>
      <c r="F416" s="2" t="s">
        <v>14</v>
      </c>
      <c r="G416" s="3">
        <v>45768</v>
      </c>
      <c r="H416" s="3">
        <v>45539</v>
      </c>
      <c r="I416" s="2" t="s">
        <v>838</v>
      </c>
      <c r="J416" s="2" t="s">
        <v>16</v>
      </c>
      <c r="K416" s="2">
        <v>411.85</v>
      </c>
      <c r="L416" s="2" t="s">
        <v>19</v>
      </c>
      <c r="M416">
        <f t="shared" si="6"/>
        <v>0.56862745098039214</v>
      </c>
    </row>
    <row r="417" spans="1:13" x14ac:dyDescent="0.35">
      <c r="A417" s="2">
        <v>1043</v>
      </c>
      <c r="B417" s="2">
        <v>416</v>
      </c>
      <c r="C417" s="2" t="s">
        <v>839</v>
      </c>
      <c r="D417" s="2">
        <v>31</v>
      </c>
      <c r="E417" s="2" t="str" cm="1">
        <f t="array" ref="E417">_xlfn.IFS(D417&gt;=60,"Senior",D417&gt;=23,"Adult",D417&gt;=18,"Teenager")</f>
        <v>Adult</v>
      </c>
      <c r="F417" s="2" t="s">
        <v>14</v>
      </c>
      <c r="G417" s="3">
        <v>45982</v>
      </c>
      <c r="H417" s="3">
        <v>45885</v>
      </c>
      <c r="I417" s="2" t="s">
        <v>840</v>
      </c>
      <c r="J417" s="2" t="s">
        <v>16</v>
      </c>
      <c r="K417" s="2">
        <v>198.95</v>
      </c>
      <c r="L417" s="2" t="s">
        <v>12</v>
      </c>
      <c r="M417">
        <f t="shared" si="6"/>
        <v>0.56000000000000005</v>
      </c>
    </row>
    <row r="418" spans="1:13" x14ac:dyDescent="0.35">
      <c r="A418" s="2">
        <v>1058</v>
      </c>
      <c r="B418" s="2">
        <v>417</v>
      </c>
      <c r="C418" s="2" t="s">
        <v>841</v>
      </c>
      <c r="D418" s="2">
        <v>64</v>
      </c>
      <c r="E418" s="2" t="str" cm="1">
        <f t="array" ref="E418">_xlfn.IFS(D418&gt;=60,"Senior",D418&gt;=23,"Adult",D418&gt;=18,"Teenager")</f>
        <v>Senior</v>
      </c>
      <c r="F418" s="2" t="s">
        <v>14</v>
      </c>
      <c r="G418" s="3">
        <v>45761</v>
      </c>
      <c r="H418" s="3">
        <v>45749</v>
      </c>
      <c r="I418" s="2" t="s">
        <v>842</v>
      </c>
      <c r="J418" s="2" t="s">
        <v>16</v>
      </c>
      <c r="K418" s="2">
        <v>246.05</v>
      </c>
      <c r="L418" s="2" t="s">
        <v>19</v>
      </c>
      <c r="M418">
        <f t="shared" si="6"/>
        <v>0.5714285714285714</v>
      </c>
    </row>
    <row r="419" spans="1:13" x14ac:dyDescent="0.35">
      <c r="A419" s="2">
        <v>1097</v>
      </c>
      <c r="B419" s="2">
        <v>418</v>
      </c>
      <c r="C419" s="2" t="s">
        <v>843</v>
      </c>
      <c r="D419" s="2">
        <v>51</v>
      </c>
      <c r="E419" s="2" t="str" cm="1">
        <f t="array" ref="E419">_xlfn.IFS(D419&gt;=60,"Senior",D419&gt;=23,"Adult",D419&gt;=18,"Teenager")</f>
        <v>Adult</v>
      </c>
      <c r="F419" s="2" t="s">
        <v>9</v>
      </c>
      <c r="G419" s="3">
        <v>45911</v>
      </c>
      <c r="H419" s="3">
        <v>45456</v>
      </c>
      <c r="I419" s="2" t="s">
        <v>844</v>
      </c>
      <c r="J419" s="2" t="s">
        <v>11</v>
      </c>
      <c r="K419" s="2">
        <v>381.59</v>
      </c>
      <c r="L419" s="2" t="s">
        <v>12</v>
      </c>
      <c r="M419">
        <f t="shared" si="6"/>
        <v>0.5625</v>
      </c>
    </row>
    <row r="420" spans="1:13" x14ac:dyDescent="0.35">
      <c r="A420" s="2">
        <v>1075</v>
      </c>
      <c r="B420" s="2">
        <v>419</v>
      </c>
      <c r="C420" s="2" t="s">
        <v>845</v>
      </c>
      <c r="D420" s="2">
        <v>51</v>
      </c>
      <c r="E420" s="2" t="str" cm="1">
        <f t="array" ref="E420">_xlfn.IFS(D420&gt;=60,"Senior",D420&gt;=23,"Adult",D420&gt;=18,"Teenager")</f>
        <v>Adult</v>
      </c>
      <c r="F420" s="2" t="s">
        <v>14</v>
      </c>
      <c r="G420" s="3">
        <v>45973</v>
      </c>
      <c r="H420" s="3">
        <v>45949</v>
      </c>
      <c r="I420" s="2" t="s">
        <v>846</v>
      </c>
      <c r="J420" s="2" t="s">
        <v>16</v>
      </c>
      <c r="K420" s="2">
        <v>456.12</v>
      </c>
      <c r="L420" s="2" t="s">
        <v>12</v>
      </c>
      <c r="M420">
        <f t="shared" si="6"/>
        <v>0.57446808510638303</v>
      </c>
    </row>
    <row r="421" spans="1:13" x14ac:dyDescent="0.35">
      <c r="A421" s="2">
        <v>1036</v>
      </c>
      <c r="B421" s="2">
        <v>420</v>
      </c>
      <c r="C421" s="2" t="s">
        <v>847</v>
      </c>
      <c r="D421" s="2">
        <v>82</v>
      </c>
      <c r="E421" s="2" t="str" cm="1">
        <f t="array" ref="E421">_xlfn.IFS(D421&gt;=60,"Senior",D421&gt;=23,"Adult",D421&gt;=18,"Teenager")</f>
        <v>Senior</v>
      </c>
      <c r="F421" s="2" t="s">
        <v>14</v>
      </c>
      <c r="G421" s="3">
        <v>45881</v>
      </c>
      <c r="H421" s="3">
        <v>45389</v>
      </c>
      <c r="I421" s="2" t="s">
        <v>848</v>
      </c>
      <c r="J421" s="2" t="s">
        <v>11</v>
      </c>
      <c r="K421" s="2">
        <v>371.84</v>
      </c>
      <c r="L421" s="2" t="s">
        <v>19</v>
      </c>
      <c r="M421">
        <f t="shared" si="6"/>
        <v>0.58695652173913049</v>
      </c>
    </row>
    <row r="422" spans="1:13" x14ac:dyDescent="0.35">
      <c r="A422" s="2">
        <v>1015</v>
      </c>
      <c r="B422" s="2">
        <v>421</v>
      </c>
      <c r="C422" s="2" t="s">
        <v>849</v>
      </c>
      <c r="D422" s="2">
        <v>63</v>
      </c>
      <c r="E422" s="2" t="str" cm="1">
        <f t="array" ref="E422">_xlfn.IFS(D422&gt;=60,"Senior",D422&gt;=23,"Adult",D422&gt;=18,"Teenager")</f>
        <v>Senior</v>
      </c>
      <c r="F422" s="2" t="s">
        <v>14</v>
      </c>
      <c r="G422" s="3">
        <v>45989</v>
      </c>
      <c r="H422" s="3">
        <v>45559</v>
      </c>
      <c r="I422" s="2" t="s">
        <v>850</v>
      </c>
      <c r="J422" s="2" t="s">
        <v>16</v>
      </c>
      <c r="K422" s="2">
        <v>41051.519999999997</v>
      </c>
      <c r="L422" s="2" t="s">
        <v>19</v>
      </c>
      <c r="M422">
        <f t="shared" si="6"/>
        <v>0.57777777777777772</v>
      </c>
    </row>
    <row r="423" spans="1:13" x14ac:dyDescent="0.35">
      <c r="A423" s="2">
        <v>1050</v>
      </c>
      <c r="B423" s="2">
        <v>422</v>
      </c>
      <c r="C423" s="2" t="s">
        <v>851</v>
      </c>
      <c r="D423" s="2">
        <v>23</v>
      </c>
      <c r="E423" s="2" t="str" cm="1">
        <f t="array" ref="E423">_xlfn.IFS(D423&gt;=60,"Senior",D423&gt;=23,"Adult",D423&gt;=18,"Teenager")</f>
        <v>Adult</v>
      </c>
      <c r="F423" s="2" t="s">
        <v>14</v>
      </c>
      <c r="G423" s="3">
        <v>45957</v>
      </c>
      <c r="H423" s="3">
        <v>45830</v>
      </c>
      <c r="I423" s="2" t="s">
        <v>852</v>
      </c>
      <c r="J423" s="2" t="s">
        <v>26</v>
      </c>
      <c r="K423" s="2">
        <v>437.95</v>
      </c>
      <c r="L423" s="2" t="s">
        <v>19</v>
      </c>
      <c r="M423">
        <f t="shared" si="6"/>
        <v>0.56818181818181823</v>
      </c>
    </row>
    <row r="424" spans="1:13" x14ac:dyDescent="0.35">
      <c r="A424" s="2">
        <v>1016</v>
      </c>
      <c r="B424" s="2">
        <v>423</v>
      </c>
      <c r="C424" s="2" t="s">
        <v>853</v>
      </c>
      <c r="D424" s="2">
        <v>87</v>
      </c>
      <c r="E424" s="2" t="str" cm="1">
        <f t="array" ref="E424">_xlfn.IFS(D424&gt;=60,"Senior",D424&gt;=23,"Adult",D424&gt;=18,"Teenager")</f>
        <v>Senior</v>
      </c>
      <c r="F424" s="2" t="s">
        <v>9</v>
      </c>
      <c r="G424" s="3">
        <v>46046</v>
      </c>
      <c r="H424" s="3">
        <v>45635</v>
      </c>
      <c r="I424" s="2" t="s">
        <v>854</v>
      </c>
      <c r="J424" s="2" t="s">
        <v>11</v>
      </c>
      <c r="K424" s="2">
        <v>461.32</v>
      </c>
      <c r="L424" s="2" t="s">
        <v>19</v>
      </c>
      <c r="M424">
        <f t="shared" si="6"/>
        <v>0.55813953488372092</v>
      </c>
    </row>
    <row r="425" spans="1:13" x14ac:dyDescent="0.35">
      <c r="A425" s="2">
        <v>1088</v>
      </c>
      <c r="B425" s="2">
        <v>424</v>
      </c>
      <c r="C425" s="2" t="s">
        <v>855</v>
      </c>
      <c r="D425" s="2">
        <v>65</v>
      </c>
      <c r="E425" s="2" t="str" cm="1">
        <f t="array" ref="E425">_xlfn.IFS(D425&gt;=60,"Senior",D425&gt;=23,"Adult",D425&gt;=18,"Teenager")</f>
        <v>Senior</v>
      </c>
      <c r="F425" s="2" t="s">
        <v>14</v>
      </c>
      <c r="G425" s="3">
        <v>45861</v>
      </c>
      <c r="H425" s="3">
        <v>45692</v>
      </c>
      <c r="I425" s="2" t="s">
        <v>856</v>
      </c>
      <c r="J425" s="2" t="s">
        <v>16</v>
      </c>
      <c r="K425" s="2">
        <v>15269.76</v>
      </c>
      <c r="L425" s="2" t="s">
        <v>19</v>
      </c>
      <c r="M425">
        <f t="shared" si="6"/>
        <v>0.54761904761904767</v>
      </c>
    </row>
    <row r="426" spans="1:13" x14ac:dyDescent="0.35">
      <c r="A426" s="2">
        <v>1012</v>
      </c>
      <c r="B426" s="2">
        <v>425</v>
      </c>
      <c r="C426" s="2" t="s">
        <v>857</v>
      </c>
      <c r="D426" s="2">
        <v>18</v>
      </c>
      <c r="E426" s="2" t="str" cm="1">
        <f t="array" ref="E426">_xlfn.IFS(D426&gt;=60,"Senior",D426&gt;=23,"Adult",D426&gt;=18,"Teenager")</f>
        <v>Teenager</v>
      </c>
      <c r="F426" s="2" t="s">
        <v>9</v>
      </c>
      <c r="G426" s="3">
        <v>46041</v>
      </c>
      <c r="H426" s="3">
        <v>45663</v>
      </c>
      <c r="I426" s="2" t="s">
        <v>858</v>
      </c>
      <c r="J426" s="2" t="s">
        <v>16</v>
      </c>
      <c r="K426" s="2">
        <v>317.16000000000003</v>
      </c>
      <c r="L426" s="2" t="s">
        <v>19</v>
      </c>
      <c r="M426">
        <f t="shared" si="6"/>
        <v>0.53658536585365857</v>
      </c>
    </row>
    <row r="427" spans="1:13" x14ac:dyDescent="0.35">
      <c r="A427" s="2">
        <v>1071</v>
      </c>
      <c r="B427" s="2">
        <v>426</v>
      </c>
      <c r="C427" s="2" t="s">
        <v>859</v>
      </c>
      <c r="D427" s="2">
        <v>74</v>
      </c>
      <c r="E427" s="2" t="str" cm="1">
        <f t="array" ref="E427">_xlfn.IFS(D427&gt;=60,"Senior",D427&gt;=23,"Adult",D427&gt;=18,"Teenager")</f>
        <v>Senior</v>
      </c>
      <c r="F427" s="2" t="s">
        <v>14</v>
      </c>
      <c r="G427" s="3">
        <v>45892</v>
      </c>
      <c r="H427" s="3">
        <v>45559</v>
      </c>
      <c r="I427" s="2" t="s">
        <v>860</v>
      </c>
      <c r="J427" s="2" t="s">
        <v>26</v>
      </c>
      <c r="K427" s="2">
        <v>14730.24</v>
      </c>
      <c r="L427" s="2" t="s">
        <v>12</v>
      </c>
      <c r="M427">
        <f t="shared" si="6"/>
        <v>0.52500000000000002</v>
      </c>
    </row>
    <row r="428" spans="1:13" x14ac:dyDescent="0.35">
      <c r="A428" s="2">
        <v>1077</v>
      </c>
      <c r="B428" s="2">
        <v>427</v>
      </c>
      <c r="C428" s="2" t="s">
        <v>861</v>
      </c>
      <c r="D428" s="2">
        <v>30</v>
      </c>
      <c r="E428" s="2" t="str" cm="1">
        <f t="array" ref="E428">_xlfn.IFS(D428&gt;=60,"Senior",D428&gt;=23,"Adult",D428&gt;=18,"Teenager")</f>
        <v>Adult</v>
      </c>
      <c r="F428" s="2" t="s">
        <v>14</v>
      </c>
      <c r="G428" s="3">
        <v>45806</v>
      </c>
      <c r="H428" s="3">
        <v>45683</v>
      </c>
      <c r="I428" s="2" t="s">
        <v>862</v>
      </c>
      <c r="J428" s="2" t="s">
        <v>33</v>
      </c>
      <c r="K428" s="2">
        <v>12076.8</v>
      </c>
      <c r="L428" s="2" t="s">
        <v>12</v>
      </c>
      <c r="M428">
        <f t="shared" si="6"/>
        <v>0.53846153846153844</v>
      </c>
    </row>
    <row r="429" spans="1:13" x14ac:dyDescent="0.35">
      <c r="A429" s="2">
        <v>1044</v>
      </c>
      <c r="B429" s="2">
        <v>428</v>
      </c>
      <c r="C429" s="2" t="s">
        <v>863</v>
      </c>
      <c r="D429" s="2">
        <v>43</v>
      </c>
      <c r="E429" s="2" t="str" cm="1">
        <f t="array" ref="E429">_xlfn.IFS(D429&gt;=60,"Senior",D429&gt;=23,"Adult",D429&gt;=18,"Teenager")</f>
        <v>Adult</v>
      </c>
      <c r="F429" s="2" t="s">
        <v>14</v>
      </c>
      <c r="G429" s="3">
        <v>45749</v>
      </c>
      <c r="H429" s="3">
        <v>45481</v>
      </c>
      <c r="I429" s="2" t="s">
        <v>864</v>
      </c>
      <c r="J429" s="2" t="s">
        <v>11</v>
      </c>
      <c r="K429" s="2">
        <v>352.94</v>
      </c>
      <c r="L429" s="2" t="s">
        <v>12</v>
      </c>
      <c r="M429">
        <f t="shared" si="6"/>
        <v>0.55263157894736847</v>
      </c>
    </row>
    <row r="430" spans="1:13" x14ac:dyDescent="0.35">
      <c r="A430" s="2">
        <v>1055</v>
      </c>
      <c r="B430" s="2">
        <v>429</v>
      </c>
      <c r="C430" s="2" t="s">
        <v>865</v>
      </c>
      <c r="D430" s="2">
        <v>69</v>
      </c>
      <c r="E430" s="2" t="str" cm="1">
        <f t="array" ref="E430">_xlfn.IFS(D430&gt;=60,"Senior",D430&gt;=23,"Adult",D430&gt;=18,"Teenager")</f>
        <v>Senior</v>
      </c>
      <c r="F430" s="2" t="s">
        <v>14</v>
      </c>
      <c r="G430" s="3">
        <v>45747</v>
      </c>
      <c r="H430" s="3">
        <v>45423</v>
      </c>
      <c r="I430" s="2" t="s">
        <v>866</v>
      </c>
      <c r="J430" s="2" t="s">
        <v>33</v>
      </c>
      <c r="K430" s="2">
        <v>479.37</v>
      </c>
      <c r="L430" s="2" t="s">
        <v>19</v>
      </c>
      <c r="M430">
        <f t="shared" si="6"/>
        <v>0.56756756756756754</v>
      </c>
    </row>
    <row r="431" spans="1:13" x14ac:dyDescent="0.35">
      <c r="A431" s="2">
        <v>1046</v>
      </c>
      <c r="B431" s="2">
        <v>430</v>
      </c>
      <c r="C431" s="2" t="s">
        <v>867</v>
      </c>
      <c r="D431" s="2">
        <v>29</v>
      </c>
      <c r="E431" s="2" t="str" cm="1">
        <f t="array" ref="E431">_xlfn.IFS(D431&gt;=60,"Senior",D431&gt;=23,"Adult",D431&gt;=18,"Teenager")</f>
        <v>Adult</v>
      </c>
      <c r="F431" s="2" t="s">
        <v>14</v>
      </c>
      <c r="G431" s="3">
        <v>45754</v>
      </c>
      <c r="H431" s="3">
        <v>45445</v>
      </c>
      <c r="I431" s="2" t="s">
        <v>868</v>
      </c>
      <c r="J431" s="2" t="s">
        <v>26</v>
      </c>
      <c r="K431" s="2">
        <v>29466.240000000002</v>
      </c>
      <c r="L431" s="2" t="s">
        <v>19</v>
      </c>
      <c r="M431">
        <f t="shared" si="6"/>
        <v>0.55555555555555558</v>
      </c>
    </row>
    <row r="432" spans="1:13" x14ac:dyDescent="0.35">
      <c r="A432" s="2">
        <v>1053</v>
      </c>
      <c r="B432" s="2">
        <v>431</v>
      </c>
      <c r="C432" s="2" t="s">
        <v>869</v>
      </c>
      <c r="D432" s="2">
        <v>86</v>
      </c>
      <c r="E432" s="2" t="str" cm="1">
        <f t="array" ref="E432">_xlfn.IFS(D432&gt;=60,"Senior",D432&gt;=23,"Adult",D432&gt;=18,"Teenager")</f>
        <v>Senior</v>
      </c>
      <c r="F432" s="2" t="s">
        <v>9</v>
      </c>
      <c r="G432" s="3">
        <v>45943</v>
      </c>
      <c r="H432" s="3">
        <v>45516</v>
      </c>
      <c r="I432" s="2" t="s">
        <v>870</v>
      </c>
      <c r="J432" s="2" t="s">
        <v>11</v>
      </c>
      <c r="K432" s="2">
        <v>8210.8799999999992</v>
      </c>
      <c r="L432" s="2" t="s">
        <v>19</v>
      </c>
      <c r="M432">
        <f t="shared" si="6"/>
        <v>0.54285714285714282</v>
      </c>
    </row>
    <row r="433" spans="1:13" x14ac:dyDescent="0.35">
      <c r="A433" s="2">
        <v>1047</v>
      </c>
      <c r="B433" s="2">
        <v>432</v>
      </c>
      <c r="C433" s="2" t="s">
        <v>871</v>
      </c>
      <c r="D433" s="2">
        <v>76</v>
      </c>
      <c r="E433" s="2" t="str" cm="1">
        <f t="array" ref="E433">_xlfn.IFS(D433&gt;=60,"Senior",D433&gt;=23,"Adult",D433&gt;=18,"Teenager")</f>
        <v>Senior</v>
      </c>
      <c r="F433" s="2" t="s">
        <v>14</v>
      </c>
      <c r="G433" s="3">
        <v>45887</v>
      </c>
      <c r="H433" s="3">
        <v>45822</v>
      </c>
      <c r="I433" s="2" t="s">
        <v>872</v>
      </c>
      <c r="J433" s="2" t="s">
        <v>33</v>
      </c>
      <c r="K433" s="2">
        <v>8032.32</v>
      </c>
      <c r="L433" s="2" t="s">
        <v>12</v>
      </c>
      <c r="M433">
        <f t="shared" si="6"/>
        <v>0.52941176470588236</v>
      </c>
    </row>
    <row r="434" spans="1:13" x14ac:dyDescent="0.35">
      <c r="A434" s="2">
        <v>1012</v>
      </c>
      <c r="B434" s="2">
        <v>433</v>
      </c>
      <c r="C434" s="2" t="s">
        <v>873</v>
      </c>
      <c r="D434" s="2">
        <v>76</v>
      </c>
      <c r="E434" s="2" t="str" cm="1">
        <f t="array" ref="E434">_xlfn.IFS(D434&gt;=60,"Senior",D434&gt;=23,"Adult",D434&gt;=18,"Teenager")</f>
        <v>Senior</v>
      </c>
      <c r="F434" s="2" t="s">
        <v>14</v>
      </c>
      <c r="G434" s="3">
        <v>46205</v>
      </c>
      <c r="H434" s="3">
        <v>46037</v>
      </c>
      <c r="I434" s="2" t="s">
        <v>874</v>
      </c>
      <c r="J434" s="2" t="s">
        <v>33</v>
      </c>
      <c r="K434" s="2">
        <v>255.43</v>
      </c>
      <c r="L434" s="2" t="s">
        <v>12</v>
      </c>
      <c r="M434">
        <f t="shared" si="6"/>
        <v>0.54545454545454541</v>
      </c>
    </row>
    <row r="435" spans="1:13" x14ac:dyDescent="0.35">
      <c r="A435" s="2">
        <v>1091</v>
      </c>
      <c r="B435" s="2">
        <v>434</v>
      </c>
      <c r="C435" s="2" t="s">
        <v>875</v>
      </c>
      <c r="D435" s="2">
        <v>62</v>
      </c>
      <c r="E435" s="2" t="str" cm="1">
        <f t="array" ref="E435">_xlfn.IFS(D435&gt;=60,"Senior",D435&gt;=23,"Adult",D435&gt;=18,"Teenager")</f>
        <v>Senior</v>
      </c>
      <c r="F435" s="2" t="s">
        <v>14</v>
      </c>
      <c r="G435" s="3">
        <v>46103</v>
      </c>
      <c r="H435" s="3">
        <v>45989</v>
      </c>
      <c r="I435" s="2" t="s">
        <v>876</v>
      </c>
      <c r="J435" s="2" t="s">
        <v>16</v>
      </c>
      <c r="K435" s="2">
        <v>41628.480000000003</v>
      </c>
      <c r="L435" s="2" t="s">
        <v>19</v>
      </c>
      <c r="M435">
        <f t="shared" si="6"/>
        <v>0.5625</v>
      </c>
    </row>
    <row r="436" spans="1:13" x14ac:dyDescent="0.35">
      <c r="A436" s="2">
        <v>1034</v>
      </c>
      <c r="B436" s="2">
        <v>435</v>
      </c>
      <c r="C436" s="2" t="s">
        <v>877</v>
      </c>
      <c r="D436" s="2">
        <v>71</v>
      </c>
      <c r="E436" s="2" t="str" cm="1">
        <f t="array" ref="E436">_xlfn.IFS(D436&gt;=60,"Senior",D436&gt;=23,"Adult",D436&gt;=18,"Teenager")</f>
        <v>Senior</v>
      </c>
      <c r="F436" s="2" t="s">
        <v>14</v>
      </c>
      <c r="G436" s="3">
        <v>46017</v>
      </c>
      <c r="H436" s="3">
        <v>45409</v>
      </c>
      <c r="I436" s="2" t="s">
        <v>878</v>
      </c>
      <c r="J436" s="2" t="s">
        <v>16</v>
      </c>
      <c r="K436" s="2">
        <v>461.04</v>
      </c>
      <c r="L436" s="2" t="s">
        <v>12</v>
      </c>
      <c r="M436">
        <f t="shared" si="6"/>
        <v>0.54838709677419351</v>
      </c>
    </row>
    <row r="437" spans="1:13" x14ac:dyDescent="0.35">
      <c r="A437" s="2">
        <v>1063</v>
      </c>
      <c r="B437" s="2">
        <v>436</v>
      </c>
      <c r="C437" s="2" t="s">
        <v>879</v>
      </c>
      <c r="D437" s="2">
        <v>75</v>
      </c>
      <c r="E437" s="2" t="str" cm="1">
        <f t="array" ref="E437">_xlfn.IFS(D437&gt;=60,"Senior",D437&gt;=23,"Adult",D437&gt;=18,"Teenager")</f>
        <v>Senior</v>
      </c>
      <c r="F437" s="2" t="s">
        <v>9</v>
      </c>
      <c r="G437" s="3">
        <v>45722</v>
      </c>
      <c r="H437" s="3">
        <v>45605</v>
      </c>
      <c r="I437" s="2" t="s">
        <v>880</v>
      </c>
      <c r="J437" s="2" t="s">
        <v>26</v>
      </c>
      <c r="K437" s="2">
        <v>96.19</v>
      </c>
      <c r="L437" s="2" t="s">
        <v>19</v>
      </c>
      <c r="M437">
        <f t="shared" si="6"/>
        <v>0.56666666666666665</v>
      </c>
    </row>
    <row r="438" spans="1:13" x14ac:dyDescent="0.35">
      <c r="A438" s="2">
        <v>1045</v>
      </c>
      <c r="B438" s="2">
        <v>437</v>
      </c>
      <c r="C438" s="2" t="s">
        <v>881</v>
      </c>
      <c r="D438" s="2">
        <v>24</v>
      </c>
      <c r="E438" s="2" t="str" cm="1">
        <f t="array" ref="E438">_xlfn.IFS(D438&gt;=60,"Senior",D438&gt;=23,"Adult",D438&gt;=18,"Teenager")</f>
        <v>Adult</v>
      </c>
      <c r="F438" s="2" t="s">
        <v>9</v>
      </c>
      <c r="G438" s="3">
        <v>45993</v>
      </c>
      <c r="H438" s="3">
        <v>45760</v>
      </c>
      <c r="I438" s="2" t="s">
        <v>882</v>
      </c>
      <c r="J438" s="2" t="s">
        <v>11</v>
      </c>
      <c r="K438" s="2">
        <v>246.63</v>
      </c>
      <c r="L438" s="2" t="s">
        <v>12</v>
      </c>
      <c r="M438">
        <f t="shared" si="6"/>
        <v>0.55172413793103448</v>
      </c>
    </row>
    <row r="439" spans="1:13" x14ac:dyDescent="0.35">
      <c r="A439" s="2">
        <v>1028</v>
      </c>
      <c r="B439" s="2">
        <v>438</v>
      </c>
      <c r="C439" s="2" t="s">
        <v>883</v>
      </c>
      <c r="D439" s="2">
        <v>88</v>
      </c>
      <c r="E439" s="2" t="str" cm="1">
        <f t="array" ref="E439">_xlfn.IFS(D439&gt;=60,"Senior",D439&gt;=23,"Adult",D439&gt;=18,"Teenager")</f>
        <v>Senior</v>
      </c>
      <c r="F439" s="2" t="s">
        <v>14</v>
      </c>
      <c r="G439" s="3">
        <v>45959</v>
      </c>
      <c r="H439" s="3">
        <v>45738</v>
      </c>
      <c r="I439" s="2" t="s">
        <v>739</v>
      </c>
      <c r="J439" s="2" t="s">
        <v>26</v>
      </c>
      <c r="K439" s="2">
        <v>256.58999999999997</v>
      </c>
      <c r="L439" s="2" t="s">
        <v>19</v>
      </c>
      <c r="M439">
        <f t="shared" si="6"/>
        <v>0.5714285714285714</v>
      </c>
    </row>
    <row r="440" spans="1:13" x14ac:dyDescent="0.35">
      <c r="A440" s="2">
        <v>1025</v>
      </c>
      <c r="B440" s="2">
        <v>439</v>
      </c>
      <c r="C440" s="2" t="s">
        <v>884</v>
      </c>
      <c r="D440" s="2">
        <v>84</v>
      </c>
      <c r="E440" s="2" t="str" cm="1">
        <f t="array" ref="E440">_xlfn.IFS(D440&gt;=60,"Senior",D440&gt;=23,"Adult",D440&gt;=18,"Teenager")</f>
        <v>Senior</v>
      </c>
      <c r="F440" s="2" t="s">
        <v>9</v>
      </c>
      <c r="G440" s="3">
        <v>45926</v>
      </c>
      <c r="H440" s="3">
        <v>45824</v>
      </c>
      <c r="I440" s="2" t="s">
        <v>885</v>
      </c>
      <c r="J440" s="2" t="s">
        <v>16</v>
      </c>
      <c r="K440" s="2">
        <v>31376.639999999999</v>
      </c>
      <c r="L440" s="2" t="s">
        <v>19</v>
      </c>
      <c r="M440">
        <f t="shared" si="6"/>
        <v>0.55555555555555558</v>
      </c>
    </row>
    <row r="441" spans="1:13" x14ac:dyDescent="0.35">
      <c r="A441" s="2">
        <v>1036</v>
      </c>
      <c r="B441" s="2">
        <v>440</v>
      </c>
      <c r="C441" s="2" t="s">
        <v>886</v>
      </c>
      <c r="D441" s="2">
        <v>76</v>
      </c>
      <c r="E441" s="2" t="str" cm="1">
        <f t="array" ref="E441">_xlfn.IFS(D441&gt;=60,"Senior",D441&gt;=23,"Adult",D441&gt;=18,"Teenager")</f>
        <v>Senior</v>
      </c>
      <c r="F441" s="2" t="s">
        <v>9</v>
      </c>
      <c r="G441" s="3">
        <v>46032</v>
      </c>
      <c r="H441" s="3">
        <v>45869</v>
      </c>
      <c r="I441" s="2" t="s">
        <v>887</v>
      </c>
      <c r="J441" s="2" t="s">
        <v>11</v>
      </c>
      <c r="K441" s="2">
        <v>13129.92</v>
      </c>
      <c r="L441" s="2" t="s">
        <v>19</v>
      </c>
      <c r="M441">
        <f t="shared" si="6"/>
        <v>0.53846153846153844</v>
      </c>
    </row>
    <row r="442" spans="1:13" x14ac:dyDescent="0.35">
      <c r="A442" s="2">
        <v>1085</v>
      </c>
      <c r="B442" s="2">
        <v>441</v>
      </c>
      <c r="C442" s="2" t="s">
        <v>888</v>
      </c>
      <c r="D442" s="2">
        <v>63</v>
      </c>
      <c r="E442" s="2" t="str" cm="1">
        <f t="array" ref="E442">_xlfn.IFS(D442&gt;=60,"Senior",D442&gt;=23,"Adult",D442&gt;=18,"Teenager")</f>
        <v>Senior</v>
      </c>
      <c r="F442" s="2" t="s">
        <v>14</v>
      </c>
      <c r="G442" s="3">
        <v>45881</v>
      </c>
      <c r="H442" s="3">
        <v>45599</v>
      </c>
      <c r="I442" s="2" t="s">
        <v>889</v>
      </c>
      <c r="J442" s="2" t="s">
        <v>33</v>
      </c>
      <c r="K442" s="2">
        <v>421.18</v>
      </c>
      <c r="L442" s="2" t="s">
        <v>19</v>
      </c>
      <c r="M442">
        <f t="shared" si="6"/>
        <v>0.52</v>
      </c>
    </row>
    <row r="443" spans="1:13" x14ac:dyDescent="0.35">
      <c r="A443" s="2">
        <v>1075</v>
      </c>
      <c r="B443" s="2">
        <v>442</v>
      </c>
      <c r="C443" s="2" t="s">
        <v>890</v>
      </c>
      <c r="D443" s="2">
        <v>59</v>
      </c>
      <c r="E443" s="2" t="str" cm="1">
        <f t="array" ref="E443">_xlfn.IFS(D443&gt;=60,"Senior",D443&gt;=23,"Adult",D443&gt;=18,"Teenager")</f>
        <v>Adult</v>
      </c>
      <c r="F443" s="2" t="s">
        <v>14</v>
      </c>
      <c r="G443" s="3">
        <v>46101</v>
      </c>
      <c r="H443" s="3">
        <v>46015</v>
      </c>
      <c r="I443" s="2" t="s">
        <v>891</v>
      </c>
      <c r="J443" s="2" t="s">
        <v>26</v>
      </c>
      <c r="K443" s="2">
        <v>107.04</v>
      </c>
      <c r="L443" s="2" t="s">
        <v>19</v>
      </c>
      <c r="M443">
        <f t="shared" si="6"/>
        <v>0.5</v>
      </c>
    </row>
    <row r="444" spans="1:13" x14ac:dyDescent="0.35">
      <c r="A444" s="2">
        <v>1051</v>
      </c>
      <c r="B444" s="2">
        <v>443</v>
      </c>
      <c r="C444" s="2" t="s">
        <v>892</v>
      </c>
      <c r="D444" s="2">
        <v>64</v>
      </c>
      <c r="E444" s="2" t="str" cm="1">
        <f t="array" ref="E444">_xlfn.IFS(D444&gt;=60,"Senior",D444&gt;=23,"Adult",D444&gt;=18,"Teenager")</f>
        <v>Senior</v>
      </c>
      <c r="F444" s="2" t="s">
        <v>9</v>
      </c>
      <c r="G444" s="3">
        <v>45755</v>
      </c>
      <c r="H444" s="3">
        <v>45496</v>
      </c>
      <c r="I444" s="2" t="s">
        <v>893</v>
      </c>
      <c r="J444" s="2" t="s">
        <v>26</v>
      </c>
      <c r="K444" s="2">
        <v>37449.599999999999</v>
      </c>
      <c r="L444" s="2" t="s">
        <v>12</v>
      </c>
      <c r="M444">
        <f t="shared" si="6"/>
        <v>0.47826086956521741</v>
      </c>
    </row>
    <row r="445" spans="1:13" x14ac:dyDescent="0.35">
      <c r="A445" s="2">
        <v>1074</v>
      </c>
      <c r="B445" s="2">
        <v>444</v>
      </c>
      <c r="C445" s="2" t="s">
        <v>894</v>
      </c>
      <c r="D445" s="2">
        <v>80</v>
      </c>
      <c r="E445" s="2" t="str" cm="1">
        <f t="array" ref="E445">_xlfn.IFS(D445&gt;=60,"Senior",D445&gt;=23,"Adult",D445&gt;=18,"Teenager")</f>
        <v>Senior</v>
      </c>
      <c r="F445" s="2" t="s">
        <v>14</v>
      </c>
      <c r="G445" s="3">
        <v>45972</v>
      </c>
      <c r="H445" s="3">
        <v>45797</v>
      </c>
      <c r="I445" s="2" t="s">
        <v>895</v>
      </c>
      <c r="J445" s="2" t="s">
        <v>16</v>
      </c>
      <c r="K445" s="2">
        <v>467.55</v>
      </c>
      <c r="L445" s="2" t="s">
        <v>12</v>
      </c>
      <c r="M445">
        <f t="shared" si="6"/>
        <v>0.5</v>
      </c>
    </row>
    <row r="446" spans="1:13" x14ac:dyDescent="0.35">
      <c r="A446" s="2">
        <v>1049</v>
      </c>
      <c r="B446" s="2">
        <v>445</v>
      </c>
      <c r="C446" s="2" t="s">
        <v>896</v>
      </c>
      <c r="D446" s="2">
        <v>20</v>
      </c>
      <c r="E446" s="2" t="str" cm="1">
        <f t="array" ref="E446">_xlfn.IFS(D446&gt;=60,"Senior",D446&gt;=23,"Adult",D446&gt;=18,"Teenager")</f>
        <v>Teenager</v>
      </c>
      <c r="F446" s="2" t="s">
        <v>14</v>
      </c>
      <c r="G446" s="3">
        <v>46020</v>
      </c>
      <c r="H446" s="3">
        <v>45831</v>
      </c>
      <c r="I446" s="2" t="s">
        <v>897</v>
      </c>
      <c r="J446" s="2" t="s">
        <v>11</v>
      </c>
      <c r="K446" s="2">
        <v>184.38</v>
      </c>
      <c r="L446" s="2" t="s">
        <v>12</v>
      </c>
      <c r="M446">
        <f t="shared" si="6"/>
        <v>0.52380952380952384</v>
      </c>
    </row>
    <row r="447" spans="1:13" x14ac:dyDescent="0.35">
      <c r="A447" s="2">
        <v>1021</v>
      </c>
      <c r="B447" s="2">
        <v>446</v>
      </c>
      <c r="C447" s="2" t="s">
        <v>898</v>
      </c>
      <c r="D447" s="2">
        <v>80</v>
      </c>
      <c r="E447" s="2" t="str" cm="1">
        <f t="array" ref="E447">_xlfn.IFS(D447&gt;=60,"Senior",D447&gt;=23,"Adult",D447&gt;=18,"Teenager")</f>
        <v>Senior</v>
      </c>
      <c r="F447" s="2" t="s">
        <v>14</v>
      </c>
      <c r="G447" s="3">
        <v>45823</v>
      </c>
      <c r="H447" s="3">
        <v>45521</v>
      </c>
      <c r="I447" s="2" t="s">
        <v>899</v>
      </c>
      <c r="J447" s="2" t="s">
        <v>33</v>
      </c>
      <c r="K447" s="2">
        <v>25857.599999999999</v>
      </c>
      <c r="L447" s="2" t="s">
        <v>19</v>
      </c>
      <c r="M447">
        <f t="shared" si="6"/>
        <v>0.55000000000000004</v>
      </c>
    </row>
    <row r="448" spans="1:13" x14ac:dyDescent="0.35">
      <c r="A448" s="2">
        <v>1069</v>
      </c>
      <c r="B448" s="2">
        <v>447</v>
      </c>
      <c r="C448" s="2" t="s">
        <v>900</v>
      </c>
      <c r="D448" s="2">
        <v>18</v>
      </c>
      <c r="E448" s="2" t="str" cm="1">
        <f t="array" ref="E448">_xlfn.IFS(D448&gt;=60,"Senior",D448&gt;=23,"Adult",D448&gt;=18,"Teenager")</f>
        <v>Teenager</v>
      </c>
      <c r="F448" s="2" t="s">
        <v>14</v>
      </c>
      <c r="G448" s="3">
        <v>45947</v>
      </c>
      <c r="H448" s="3">
        <v>45419</v>
      </c>
      <c r="I448" s="2" t="s">
        <v>901</v>
      </c>
      <c r="J448" s="2" t="s">
        <v>26</v>
      </c>
      <c r="K448" s="2">
        <v>363.94</v>
      </c>
      <c r="L448" s="2" t="s">
        <v>12</v>
      </c>
      <c r="M448">
        <f t="shared" si="6"/>
        <v>0.52631578947368418</v>
      </c>
    </row>
    <row r="449" spans="1:13" x14ac:dyDescent="0.35">
      <c r="A449" s="2">
        <v>1036</v>
      </c>
      <c r="B449" s="2">
        <v>448</v>
      </c>
      <c r="C449" s="2" t="s">
        <v>902</v>
      </c>
      <c r="D449" s="2">
        <v>44</v>
      </c>
      <c r="E449" s="2" t="str" cm="1">
        <f t="array" ref="E449">_xlfn.IFS(D449&gt;=60,"Senior",D449&gt;=23,"Adult",D449&gt;=18,"Teenager")</f>
        <v>Adult</v>
      </c>
      <c r="F449" s="2" t="s">
        <v>9</v>
      </c>
      <c r="G449" s="3">
        <v>45774</v>
      </c>
      <c r="H449" s="3">
        <v>45639</v>
      </c>
      <c r="I449" s="2" t="s">
        <v>903</v>
      </c>
      <c r="J449" s="2" t="s">
        <v>33</v>
      </c>
      <c r="K449" s="2">
        <v>15648</v>
      </c>
      <c r="L449" s="2" t="s">
        <v>19</v>
      </c>
      <c r="M449">
        <f t="shared" si="6"/>
        <v>0.55555555555555558</v>
      </c>
    </row>
    <row r="450" spans="1:13" x14ac:dyDescent="0.35">
      <c r="A450" s="2">
        <v>1063</v>
      </c>
      <c r="B450" s="2">
        <v>449</v>
      </c>
      <c r="C450" s="2" t="s">
        <v>904</v>
      </c>
      <c r="D450" s="2">
        <v>32</v>
      </c>
      <c r="E450" s="2" t="str" cm="1">
        <f t="array" ref="E450">_xlfn.IFS(D450&gt;=60,"Senior",D450&gt;=23,"Adult",D450&gt;=18,"Teenager")</f>
        <v>Adult</v>
      </c>
      <c r="F450" s="2" t="s">
        <v>14</v>
      </c>
      <c r="G450" s="3">
        <v>45843</v>
      </c>
      <c r="H450" s="3">
        <v>45661</v>
      </c>
      <c r="I450" s="2" t="s">
        <v>342</v>
      </c>
      <c r="J450" s="2" t="s">
        <v>33</v>
      </c>
      <c r="K450" s="2">
        <v>254.14</v>
      </c>
      <c r="L450" s="2" t="s">
        <v>19</v>
      </c>
      <c r="M450">
        <f t="shared" si="6"/>
        <v>0.52941176470588236</v>
      </c>
    </row>
    <row r="451" spans="1:13" x14ac:dyDescent="0.35">
      <c r="A451" s="2">
        <v>1081</v>
      </c>
      <c r="B451" s="2">
        <v>450</v>
      </c>
      <c r="C451" s="2" t="s">
        <v>905</v>
      </c>
      <c r="D451" s="2">
        <v>32</v>
      </c>
      <c r="E451" s="2" t="str" cm="1">
        <f t="array" ref="E451">_xlfn.IFS(D451&gt;=60,"Senior",D451&gt;=23,"Adult",D451&gt;=18,"Teenager")</f>
        <v>Adult</v>
      </c>
      <c r="F451" s="2" t="s">
        <v>14</v>
      </c>
      <c r="G451" s="3">
        <v>46079</v>
      </c>
      <c r="H451" s="3">
        <v>45761</v>
      </c>
      <c r="I451" s="2" t="s">
        <v>906</v>
      </c>
      <c r="J451" s="2" t="s">
        <v>16</v>
      </c>
      <c r="K451" s="2">
        <v>10827.84</v>
      </c>
      <c r="L451" s="2" t="s">
        <v>12</v>
      </c>
      <c r="M451">
        <f t="shared" ref="M451:M466" si="7">COUNTIF(L451:L915,"Yes")/COUNTA(L451:L915)</f>
        <v>0.5</v>
      </c>
    </row>
    <row r="452" spans="1:13" x14ac:dyDescent="0.35">
      <c r="A452" s="2">
        <v>1042</v>
      </c>
      <c r="B452" s="2">
        <v>451</v>
      </c>
      <c r="C452" s="2" t="s">
        <v>907</v>
      </c>
      <c r="D452" s="2">
        <v>48</v>
      </c>
      <c r="E452" s="2" t="str" cm="1">
        <f t="array" ref="E452">_xlfn.IFS(D452&gt;=60,"Senior",D452&gt;=23,"Adult",D452&gt;=18,"Teenager")</f>
        <v>Adult</v>
      </c>
      <c r="F452" s="2" t="s">
        <v>9</v>
      </c>
      <c r="G452" s="3">
        <v>45822</v>
      </c>
      <c r="H452" s="3">
        <v>45737</v>
      </c>
      <c r="I452" s="2" t="s">
        <v>908</v>
      </c>
      <c r="J452" s="2" t="s">
        <v>26</v>
      </c>
      <c r="K452" s="2">
        <v>164.15</v>
      </c>
      <c r="L452" s="2" t="s">
        <v>19</v>
      </c>
      <c r="M452">
        <f t="shared" si="7"/>
        <v>0.53333333333333333</v>
      </c>
    </row>
    <row r="453" spans="1:13" x14ac:dyDescent="0.35">
      <c r="A453" s="2">
        <v>1002</v>
      </c>
      <c r="B453" s="2">
        <v>452</v>
      </c>
      <c r="C453" s="2" t="s">
        <v>909</v>
      </c>
      <c r="D453" s="2">
        <v>88</v>
      </c>
      <c r="E453" s="2" t="str" cm="1">
        <f t="array" ref="E453">_xlfn.IFS(D453&gt;=60,"Senior",D453&gt;=23,"Adult",D453&gt;=18,"Teenager")</f>
        <v>Senior</v>
      </c>
      <c r="F453" s="2" t="s">
        <v>9</v>
      </c>
      <c r="G453" s="3">
        <v>45947</v>
      </c>
      <c r="H453" s="3">
        <v>45801</v>
      </c>
      <c r="I453" s="2" t="s">
        <v>910</v>
      </c>
      <c r="J453" s="2" t="s">
        <v>26</v>
      </c>
      <c r="K453" s="2">
        <v>35378.879999999997</v>
      </c>
      <c r="L453" s="2" t="s">
        <v>12</v>
      </c>
      <c r="M453">
        <f t="shared" si="7"/>
        <v>0.5</v>
      </c>
    </row>
    <row r="454" spans="1:13" x14ac:dyDescent="0.35">
      <c r="A454" s="2">
        <v>1047</v>
      </c>
      <c r="B454" s="2">
        <v>453</v>
      </c>
      <c r="C454" s="2" t="s">
        <v>911</v>
      </c>
      <c r="D454" s="2">
        <v>36</v>
      </c>
      <c r="E454" s="2" t="str" cm="1">
        <f t="array" ref="E454">_xlfn.IFS(D454&gt;=60,"Senior",D454&gt;=23,"Adult",D454&gt;=18,"Teenager")</f>
        <v>Adult</v>
      </c>
      <c r="F454" s="2" t="s">
        <v>14</v>
      </c>
      <c r="G454" s="3">
        <v>46043</v>
      </c>
      <c r="H454" s="3">
        <v>45663</v>
      </c>
      <c r="I454" s="2" t="s">
        <v>912</v>
      </c>
      <c r="J454" s="2" t="s">
        <v>33</v>
      </c>
      <c r="K454" s="2">
        <v>240.37</v>
      </c>
      <c r="L454" s="2" t="s">
        <v>12</v>
      </c>
      <c r="M454">
        <f t="shared" si="7"/>
        <v>0.53846153846153844</v>
      </c>
    </row>
    <row r="455" spans="1:13" x14ac:dyDescent="0.35">
      <c r="A455" s="2">
        <v>1072</v>
      </c>
      <c r="B455" s="2">
        <v>454</v>
      </c>
      <c r="C455" s="2" t="s">
        <v>913</v>
      </c>
      <c r="D455" s="2">
        <v>38</v>
      </c>
      <c r="E455" s="2" t="str" cm="1">
        <f t="array" ref="E455">_xlfn.IFS(D455&gt;=60,"Senior",D455&gt;=23,"Adult",D455&gt;=18,"Teenager")</f>
        <v>Adult</v>
      </c>
      <c r="F455" s="2" t="s">
        <v>9</v>
      </c>
      <c r="G455" s="3">
        <v>45958</v>
      </c>
      <c r="H455" s="3">
        <v>45638</v>
      </c>
      <c r="I455" s="2" t="s">
        <v>914</v>
      </c>
      <c r="J455" s="2" t="s">
        <v>11</v>
      </c>
      <c r="K455" s="2">
        <v>279.32</v>
      </c>
      <c r="L455" s="2" t="s">
        <v>12</v>
      </c>
      <c r="M455">
        <f t="shared" si="7"/>
        <v>0.58333333333333337</v>
      </c>
    </row>
    <row r="456" spans="1:13" x14ac:dyDescent="0.35">
      <c r="A456" s="2">
        <v>1085</v>
      </c>
      <c r="B456" s="2">
        <v>455</v>
      </c>
      <c r="C456" s="2" t="s">
        <v>915</v>
      </c>
      <c r="D456" s="2">
        <v>34</v>
      </c>
      <c r="E456" s="2" t="str" cm="1">
        <f t="array" ref="E456">_xlfn.IFS(D456&gt;=60,"Senior",D456&gt;=23,"Adult",D456&gt;=18,"Teenager")</f>
        <v>Adult</v>
      </c>
      <c r="F456" s="2" t="s">
        <v>14</v>
      </c>
      <c r="G456" s="3">
        <v>45989</v>
      </c>
      <c r="H456" s="3">
        <v>45823</v>
      </c>
      <c r="I456" s="2" t="s">
        <v>916</v>
      </c>
      <c r="J456" s="2" t="s">
        <v>26</v>
      </c>
      <c r="K456" s="2">
        <v>114.8</v>
      </c>
      <c r="L456" s="2" t="s">
        <v>12</v>
      </c>
      <c r="M456">
        <f t="shared" si="7"/>
        <v>0.63636363636363635</v>
      </c>
    </row>
    <row r="457" spans="1:13" x14ac:dyDescent="0.35">
      <c r="A457" s="2">
        <v>1028</v>
      </c>
      <c r="B457" s="2">
        <v>456</v>
      </c>
      <c r="C457" s="2" t="s">
        <v>917</v>
      </c>
      <c r="D457" s="2">
        <v>43</v>
      </c>
      <c r="E457" s="2" t="str" cm="1">
        <f t="array" ref="E457">_xlfn.IFS(D457&gt;=60,"Senior",D457&gt;=23,"Adult",D457&gt;=18,"Teenager")</f>
        <v>Adult</v>
      </c>
      <c r="F457" s="2" t="s">
        <v>9</v>
      </c>
      <c r="G457" s="3">
        <v>45841</v>
      </c>
      <c r="H457" s="3">
        <v>45428</v>
      </c>
      <c r="I457" s="2" t="s">
        <v>918</v>
      </c>
      <c r="J457" s="2" t="s">
        <v>16</v>
      </c>
      <c r="K457" s="2">
        <v>187.7</v>
      </c>
      <c r="L457" s="2" t="s">
        <v>19</v>
      </c>
      <c r="M457">
        <f t="shared" si="7"/>
        <v>0.7</v>
      </c>
    </row>
    <row r="458" spans="1:13" x14ac:dyDescent="0.35">
      <c r="A458" s="2">
        <v>1049</v>
      </c>
      <c r="B458" s="2">
        <v>457</v>
      </c>
      <c r="C458" s="2" t="s">
        <v>919</v>
      </c>
      <c r="D458" s="2">
        <v>84</v>
      </c>
      <c r="E458" s="2" t="str" cm="1">
        <f t="array" ref="E458">_xlfn.IFS(D458&gt;=60,"Senior",D458&gt;=23,"Adult",D458&gt;=18,"Teenager")</f>
        <v>Senior</v>
      </c>
      <c r="F458" s="2" t="s">
        <v>14</v>
      </c>
      <c r="G458" s="3">
        <v>46017</v>
      </c>
      <c r="H458" s="3">
        <v>45876</v>
      </c>
      <c r="I458" s="2" t="s">
        <v>920</v>
      </c>
      <c r="J458" s="2" t="s">
        <v>26</v>
      </c>
      <c r="K458" s="2">
        <v>34480.32</v>
      </c>
      <c r="L458" s="2" t="s">
        <v>19</v>
      </c>
      <c r="M458">
        <f t="shared" si="7"/>
        <v>0.66666666666666663</v>
      </c>
    </row>
    <row r="459" spans="1:13" x14ac:dyDescent="0.35">
      <c r="A459" s="2">
        <v>1076</v>
      </c>
      <c r="B459" s="2">
        <v>458</v>
      </c>
      <c r="C459" s="2" t="s">
        <v>921</v>
      </c>
      <c r="D459" s="2">
        <v>79</v>
      </c>
      <c r="E459" s="2" t="str" cm="1">
        <f t="array" ref="E459">_xlfn.IFS(D459&gt;=60,"Senior",D459&gt;=23,"Adult",D459&gt;=18,"Teenager")</f>
        <v>Senior</v>
      </c>
      <c r="F459" s="2" t="s">
        <v>14</v>
      </c>
      <c r="G459" s="3">
        <v>46074</v>
      </c>
      <c r="H459" s="3">
        <v>45512</v>
      </c>
      <c r="I459" s="2" t="s">
        <v>922</v>
      </c>
      <c r="J459" s="2" t="s">
        <v>33</v>
      </c>
      <c r="K459" s="2">
        <v>11587.2</v>
      </c>
      <c r="L459" s="2" t="s">
        <v>19</v>
      </c>
      <c r="M459">
        <f t="shared" si="7"/>
        <v>0.625</v>
      </c>
    </row>
    <row r="460" spans="1:13" x14ac:dyDescent="0.35">
      <c r="A460" s="2">
        <v>1068</v>
      </c>
      <c r="B460" s="2">
        <v>459</v>
      </c>
      <c r="C460" s="2" t="s">
        <v>923</v>
      </c>
      <c r="D460" s="2">
        <v>42</v>
      </c>
      <c r="E460" s="2" t="str" cm="1">
        <f t="array" ref="E460">_xlfn.IFS(D460&gt;=60,"Senior",D460&gt;=23,"Adult",D460&gt;=18,"Teenager")</f>
        <v>Adult</v>
      </c>
      <c r="F460" s="2" t="s">
        <v>14</v>
      </c>
      <c r="G460" s="3">
        <v>45951</v>
      </c>
      <c r="H460" s="3">
        <v>45747</v>
      </c>
      <c r="I460" s="2" t="s">
        <v>924</v>
      </c>
      <c r="J460" s="2" t="s">
        <v>16</v>
      </c>
      <c r="K460" s="2">
        <v>25276.799999999999</v>
      </c>
      <c r="L460" s="2" t="s">
        <v>19</v>
      </c>
      <c r="M460">
        <f t="shared" si="7"/>
        <v>0.5714285714285714</v>
      </c>
    </row>
    <row r="461" spans="1:13" x14ac:dyDescent="0.35">
      <c r="A461" s="2">
        <v>1047</v>
      </c>
      <c r="B461" s="2">
        <v>460</v>
      </c>
      <c r="C461" s="2" t="s">
        <v>925</v>
      </c>
      <c r="D461" s="2">
        <v>76</v>
      </c>
      <c r="E461" s="2" t="str" cm="1">
        <f t="array" ref="E461">_xlfn.IFS(D461&gt;=60,"Senior",D461&gt;=23,"Adult",D461&gt;=18,"Teenager")</f>
        <v>Senior</v>
      </c>
      <c r="F461" s="2" t="s">
        <v>9</v>
      </c>
      <c r="G461" s="3">
        <v>46081</v>
      </c>
      <c r="H461" s="3">
        <v>45615</v>
      </c>
      <c r="I461" s="2" t="s">
        <v>926</v>
      </c>
      <c r="J461" s="2" t="s">
        <v>26</v>
      </c>
      <c r="K461" s="2">
        <v>378.92</v>
      </c>
      <c r="L461" s="2" t="s">
        <v>12</v>
      </c>
      <c r="M461">
        <f t="shared" si="7"/>
        <v>0.5</v>
      </c>
    </row>
    <row r="462" spans="1:13" x14ac:dyDescent="0.35">
      <c r="A462" s="2">
        <v>1017</v>
      </c>
      <c r="B462" s="2">
        <v>461</v>
      </c>
      <c r="C462" s="2" t="s">
        <v>927</v>
      </c>
      <c r="D462" s="2">
        <v>50</v>
      </c>
      <c r="E462" s="2" t="str" cm="1">
        <f t="array" ref="E462">_xlfn.IFS(D462&gt;=60,"Senior",D462&gt;=23,"Adult",D462&gt;=18,"Teenager")</f>
        <v>Adult</v>
      </c>
      <c r="F462" s="2" t="s">
        <v>14</v>
      </c>
      <c r="G462" s="3">
        <v>45821</v>
      </c>
      <c r="H462" s="3">
        <v>45672</v>
      </c>
      <c r="I462" s="2" t="s">
        <v>928</v>
      </c>
      <c r="J462" s="2" t="s">
        <v>26</v>
      </c>
      <c r="K462" s="2">
        <v>35532.480000000003</v>
      </c>
      <c r="L462" s="2" t="s">
        <v>19</v>
      </c>
      <c r="M462">
        <f t="shared" si="7"/>
        <v>0.6</v>
      </c>
    </row>
    <row r="463" spans="1:13" x14ac:dyDescent="0.35">
      <c r="A463" s="2">
        <v>1068</v>
      </c>
      <c r="B463" s="2">
        <v>462</v>
      </c>
      <c r="C463" s="2" t="s">
        <v>929</v>
      </c>
      <c r="D463" s="2">
        <v>19</v>
      </c>
      <c r="E463" s="2" t="str" cm="1">
        <f t="array" ref="E463">_xlfn.IFS(D463&gt;=60,"Senior",D463&gt;=23,"Adult",D463&gt;=18,"Teenager")</f>
        <v>Teenager</v>
      </c>
      <c r="F463" s="2" t="s">
        <v>14</v>
      </c>
      <c r="G463" s="3">
        <v>46048</v>
      </c>
      <c r="H463" s="3">
        <v>45624</v>
      </c>
      <c r="I463" s="2" t="s">
        <v>930</v>
      </c>
      <c r="J463" s="2" t="s">
        <v>11</v>
      </c>
      <c r="K463" s="2">
        <v>377.38</v>
      </c>
      <c r="L463" s="2" t="s">
        <v>19</v>
      </c>
      <c r="M463">
        <f t="shared" si="7"/>
        <v>0.5</v>
      </c>
    </row>
    <row r="464" spans="1:13" x14ac:dyDescent="0.35">
      <c r="A464" s="2">
        <v>1082</v>
      </c>
      <c r="B464" s="2">
        <v>463</v>
      </c>
      <c r="C464" s="2" t="s">
        <v>931</v>
      </c>
      <c r="D464" s="2">
        <v>64</v>
      </c>
      <c r="E464" s="2" t="str" cm="1">
        <f t="array" ref="E464">_xlfn.IFS(D464&gt;=60,"Senior",D464&gt;=23,"Adult",D464&gt;=18,"Teenager")</f>
        <v>Senior</v>
      </c>
      <c r="F464" s="2" t="s">
        <v>9</v>
      </c>
      <c r="G464" s="3">
        <v>45914</v>
      </c>
      <c r="H464" s="3">
        <v>45488</v>
      </c>
      <c r="I464" s="2" t="s">
        <v>932</v>
      </c>
      <c r="J464" s="2" t="s">
        <v>11</v>
      </c>
      <c r="K464" s="2">
        <v>200.43</v>
      </c>
      <c r="L464" s="2" t="s">
        <v>19</v>
      </c>
      <c r="M464">
        <f t="shared" si="7"/>
        <v>0.33333333333333331</v>
      </c>
    </row>
    <row r="465" spans="1:13" x14ac:dyDescent="0.35">
      <c r="A465" s="2">
        <v>1008</v>
      </c>
      <c r="B465" s="2">
        <v>464</v>
      </c>
      <c r="C465" s="2" t="s">
        <v>933</v>
      </c>
      <c r="D465" s="2">
        <v>67</v>
      </c>
      <c r="E465" s="2" t="str" cm="1">
        <f t="array" ref="E465">_xlfn.IFS(D465&gt;=60,"Senior",D465&gt;=23,"Adult",D465&gt;=18,"Teenager")</f>
        <v>Senior</v>
      </c>
      <c r="F465" s="2" t="s">
        <v>9</v>
      </c>
      <c r="G465" s="3">
        <v>45756</v>
      </c>
      <c r="H465" s="3">
        <v>45463</v>
      </c>
      <c r="I465" s="2" t="s">
        <v>934</v>
      </c>
      <c r="J465" s="2" t="s">
        <v>11</v>
      </c>
      <c r="K465" s="2">
        <v>244.49</v>
      </c>
      <c r="L465" s="2" t="s">
        <v>12</v>
      </c>
      <c r="M465">
        <f t="shared" si="7"/>
        <v>0</v>
      </c>
    </row>
    <row r="466" spans="1:13" x14ac:dyDescent="0.35">
      <c r="A466" s="2">
        <v>1088</v>
      </c>
      <c r="B466" s="2">
        <v>465</v>
      </c>
      <c r="C466" s="2" t="s">
        <v>399</v>
      </c>
      <c r="D466" s="2">
        <v>65</v>
      </c>
      <c r="E466" s="2" t="str" cm="1">
        <f t="array" ref="E466">_xlfn.IFS(D466&gt;=60,"Senior",D466&gt;=23,"Adult",D466&gt;=18,"Teenager")</f>
        <v>Senior</v>
      </c>
      <c r="F466" s="2" t="s">
        <v>9</v>
      </c>
      <c r="G466" s="3">
        <v>45842</v>
      </c>
      <c r="H466" s="3">
        <v>45397</v>
      </c>
      <c r="I466" s="2" t="s">
        <v>935</v>
      </c>
      <c r="J466" s="2" t="s">
        <v>16</v>
      </c>
      <c r="K466" s="2">
        <v>41755.199999999997</v>
      </c>
      <c r="L466" s="2" t="s">
        <v>12</v>
      </c>
      <c r="M466">
        <f t="shared" si="7"/>
        <v>0</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A2EF8-5E7B-4B73-88DD-8FFF87AFE8DB}">
  <dimension ref="A1"/>
  <sheetViews>
    <sheetView showGridLines="0" tabSelected="1" zoomScale="65" zoomScaleNormal="51" workbookViewId="0">
      <selection activeCell="Y34" sqref="Y34"/>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Sheet2</vt:lpstr>
      <vt:lpstr>Sheet3</vt:lpstr>
      <vt:lpstr>Sheet4</vt:lpstr>
      <vt:lpstr>Sheet6</vt:lpstr>
      <vt:lpstr>Sheet12</vt:lpstr>
      <vt:lpstr>Sheet13</vt:lpstr>
      <vt:lpstr>Sheet1</vt:lpstr>
      <vt:lpstr>Sheet7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 Thokal</dc:creator>
  <cp:lastModifiedBy>Anu Thokal</cp:lastModifiedBy>
  <dcterms:created xsi:type="dcterms:W3CDTF">2026-09-20T10:46:32Z</dcterms:created>
  <dcterms:modified xsi:type="dcterms:W3CDTF">2026-09-21T12:49:49Z</dcterms:modified>
</cp:coreProperties>
</file>